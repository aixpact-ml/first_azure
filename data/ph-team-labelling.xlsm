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4.xml" ContentType="application/vnd.openxmlformats-officedocument.spreadsheetml.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D69CD684-D0C7-2943-3DEE-EAF2D3A0B700}"/>
  <workbookPr codeName="ThisWorkbook"/>
  <mc:AlternateContent xmlns:mc="http://schemas.openxmlformats.org/markup-compatibility/2006">
    <mc:Choice Requires="x15">
      <x15ac:absPath xmlns:x15ac="http://schemas.microsoft.com/office/spreadsheetml/2010/11/ac" url="/Users/frank/aixpact/_first_azure/data/"/>
    </mc:Choice>
  </mc:AlternateContent>
  <xr:revisionPtr revIDLastSave="0" documentId="13_ncr:1_{4E7629D8-C290-7A41-82CE-5D799FA25918}" xr6:coauthVersionLast="45" xr6:coauthVersionMax="45" xr10:uidLastSave="{00000000-0000-0000-0000-000000000000}"/>
  <bookViews>
    <workbookView xWindow="0" yWindow="0" windowWidth="28800" windowHeight="18000" activeTab="3" xr2:uid="{00000000-000D-0000-FFFF-FFFF00000000}"/>
  </bookViews>
  <sheets>
    <sheet name="data" sheetId="1" r:id="rId1"/>
    <sheet name="data_" sheetId="10" r:id="rId2"/>
    <sheet name="Sheet7" sheetId="11" r:id="rId3"/>
    <sheet name="Sheet8" sheetId="12" r:id="rId4"/>
    <sheet name="pivot" sheetId="4" r:id="rId5"/>
    <sheet name="remarks" sheetId="3" r:id="rId6"/>
    <sheet name="structure" sheetId="2" r:id="rId7"/>
    <sheet name="Sheet3" sheetId="5" r:id="rId8"/>
    <sheet name="Sheet1" sheetId="6" r:id="rId9"/>
    <sheet name="prod_attr" sheetId="8" r:id="rId10"/>
    <sheet name="prod_attr_pivot" sheetId="9" r:id="rId11"/>
    <sheet name="Sheet2" sheetId="7" r:id="rId12"/>
  </sheets>
  <functionGroups builtInGroupCount="19"/>
  <definedNames>
    <definedName name="_xlnm._FilterDatabase" localSheetId="9" hidden="1">prod_attr!$B$1:$C$237</definedName>
    <definedName name="_xlnm._FilterDatabase" localSheetId="8" hidden="1">Sheet1!$A$1:$B$152</definedName>
    <definedName name="PF" localSheetId="1">Table1[product family]</definedName>
    <definedName name="PF">Table1[product family]</definedName>
  </definedNames>
  <calcPr calcId="181029"/>
  <pivotCaches>
    <pivotCache cacheId="0" r:id="rId13"/>
    <pivotCache cacheId="44" r:id="rId14"/>
    <pivotCache cacheId="65" r:id="rId15"/>
  </pivotCache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10" l="1"/>
  <c r="H4" i="10"/>
  <c r="H5" i="10"/>
  <c r="H6" i="10"/>
  <c r="H7" i="10"/>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2" i="10"/>
  <c r="I3" i="10"/>
  <c r="J3" i="10" s="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2" i="6"/>
  <c r="K11" i="10"/>
  <c r="K151" i="10"/>
  <c r="K147" i="10"/>
  <c r="K143" i="10"/>
  <c r="K139" i="10"/>
  <c r="K135" i="10"/>
  <c r="K131" i="10"/>
  <c r="K127" i="10"/>
  <c r="K123" i="10"/>
  <c r="K119" i="10"/>
  <c r="K115" i="10"/>
  <c r="K111" i="10"/>
  <c r="K107" i="10"/>
  <c r="K103" i="10"/>
  <c r="K99" i="10"/>
  <c r="K95" i="10"/>
  <c r="K91" i="10"/>
  <c r="K87" i="10"/>
  <c r="K83" i="10"/>
  <c r="K79" i="10"/>
  <c r="K75" i="10"/>
  <c r="K71" i="10"/>
  <c r="K67" i="10"/>
  <c r="K63" i="10"/>
  <c r="K59" i="10"/>
  <c r="K55" i="10"/>
  <c r="K51" i="10"/>
  <c r="K47" i="10"/>
  <c r="K43" i="10"/>
  <c r="K39" i="10"/>
  <c r="K35" i="10"/>
  <c r="K31" i="10"/>
  <c r="K27" i="10"/>
  <c r="K23" i="10"/>
  <c r="K19" i="10"/>
  <c r="K15" i="10"/>
  <c r="K7" i="10"/>
  <c r="K3" i="10"/>
  <c r="K141" i="10"/>
  <c r="K133" i="10"/>
  <c r="K125" i="10"/>
  <c r="K121" i="10"/>
  <c r="K113" i="10"/>
  <c r="K105" i="10"/>
  <c r="K101" i="10"/>
  <c r="K93" i="10"/>
  <c r="K89" i="10"/>
  <c r="K81" i="10"/>
  <c r="K77" i="10"/>
  <c r="K69" i="10"/>
  <c r="K65" i="10"/>
  <c r="K57" i="10"/>
  <c r="K49" i="10"/>
  <c r="K41" i="10"/>
  <c r="K33" i="10"/>
  <c r="K25" i="10"/>
  <c r="K21" i="10"/>
  <c r="K13" i="10"/>
  <c r="K5" i="10"/>
  <c r="K16" i="10"/>
  <c r="K8" i="10"/>
  <c r="K4" i="10"/>
  <c r="K150" i="10"/>
  <c r="K146" i="10"/>
  <c r="K142" i="10"/>
  <c r="K138" i="10"/>
  <c r="K134" i="10"/>
  <c r="K130" i="10"/>
  <c r="K126" i="10"/>
  <c r="K122" i="10"/>
  <c r="K118" i="10"/>
  <c r="K114" i="10"/>
  <c r="K110" i="10"/>
  <c r="K106" i="10"/>
  <c r="K102" i="10"/>
  <c r="K98" i="10"/>
  <c r="K94" i="10"/>
  <c r="K90" i="10"/>
  <c r="K86" i="10"/>
  <c r="K82" i="10"/>
  <c r="K78" i="10"/>
  <c r="K74" i="10"/>
  <c r="K70" i="10"/>
  <c r="K66" i="10"/>
  <c r="K62" i="10"/>
  <c r="K58" i="10"/>
  <c r="K54" i="10"/>
  <c r="K50" i="10"/>
  <c r="K46" i="10"/>
  <c r="K42" i="10"/>
  <c r="K38" i="10"/>
  <c r="K34" i="10"/>
  <c r="K30" i="10"/>
  <c r="K26" i="10"/>
  <c r="K22" i="10"/>
  <c r="K18" i="10"/>
  <c r="K14" i="10"/>
  <c r="K10" i="10"/>
  <c r="K6" i="10"/>
  <c r="K2" i="10"/>
  <c r="K145" i="10"/>
  <c r="K137" i="10"/>
  <c r="K129" i="10"/>
  <c r="K117" i="10"/>
  <c r="K109" i="10"/>
  <c r="K97" i="10"/>
  <c r="K85" i="10"/>
  <c r="K73" i="10"/>
  <c r="K61" i="10"/>
  <c r="K53" i="10"/>
  <c r="K45" i="10"/>
  <c r="K37" i="10"/>
  <c r="K29" i="10"/>
  <c r="K17" i="10"/>
  <c r="K9" i="10"/>
  <c r="K12" i="10"/>
  <c r="K149" i="10"/>
  <c r="K148" i="10"/>
  <c r="K144" i="10"/>
  <c r="K140" i="10"/>
  <c r="K136" i="10"/>
  <c r="K132" i="10"/>
  <c r="K128" i="10"/>
  <c r="K124" i="10"/>
  <c r="K120" i="10"/>
  <c r="K116" i="10"/>
  <c r="K112" i="10"/>
  <c r="K108" i="10"/>
  <c r="K104" i="10"/>
  <c r="K100" i="10"/>
  <c r="K96" i="10"/>
  <c r="K92" i="10"/>
  <c r="K88" i="10"/>
  <c r="K84" i="10"/>
  <c r="K80" i="10"/>
  <c r="K76" i="10"/>
  <c r="K72" i="10"/>
  <c r="K68" i="10"/>
  <c r="K64" i="10"/>
  <c r="K60" i="10"/>
  <c r="K56" i="10"/>
  <c r="K52" i="10"/>
  <c r="K48" i="10"/>
  <c r="K44" i="10"/>
  <c r="K40" i="10"/>
  <c r="K36" i="10"/>
  <c r="K32" i="10"/>
  <c r="K28" i="10"/>
  <c r="K24" i="10"/>
  <c r="K20" i="10"/>
  <c r="A1" i="5"/>
  <c r="L114" i="1"/>
  <c r="L65" i="1"/>
  <c r="L49" i="1"/>
  <c r="L10" i="1"/>
  <c r="L17" i="1"/>
  <c r="L22" i="1"/>
  <c r="L81" i="1"/>
  <c r="L116" i="1"/>
  <c r="L24" i="1"/>
  <c r="L19" i="1"/>
  <c r="L71" i="1"/>
  <c r="L38" i="1"/>
  <c r="L30" i="1"/>
  <c r="L20" i="1"/>
  <c r="L136" i="1"/>
  <c r="L76" i="1"/>
  <c r="L46" i="1"/>
  <c r="L151" i="1"/>
  <c r="L89" i="1"/>
  <c r="L140" i="1"/>
  <c r="L94" i="1"/>
  <c r="L84" i="1"/>
  <c r="L102" i="1"/>
  <c r="L95" i="1"/>
  <c r="L44" i="1"/>
  <c r="L111" i="1"/>
  <c r="L139" i="1"/>
  <c r="L124" i="1"/>
  <c r="L61" i="1"/>
  <c r="L75" i="1"/>
  <c r="L123" i="1"/>
  <c r="L109" i="1"/>
  <c r="L37" i="1"/>
  <c r="L112" i="1"/>
  <c r="L121" i="1"/>
  <c r="L33" i="1"/>
  <c r="L144" i="1"/>
  <c r="L145" i="1"/>
  <c r="L39" i="1"/>
  <c r="L7" i="1"/>
  <c r="L42" i="1"/>
  <c r="L127" i="1"/>
  <c r="L118" i="1"/>
  <c r="L148" i="1"/>
  <c r="L113" i="1"/>
  <c r="L119" i="1"/>
  <c r="L150" i="1"/>
  <c r="L86" i="1"/>
  <c r="L21" i="1"/>
  <c r="L99" i="1"/>
  <c r="L56" i="1"/>
  <c r="L96" i="1"/>
  <c r="L91" i="1"/>
  <c r="L85" i="1"/>
  <c r="L92" i="1"/>
  <c r="L6" i="1"/>
  <c r="L29" i="1"/>
  <c r="L93" i="1"/>
  <c r="L105" i="1"/>
  <c r="L138" i="1"/>
  <c r="L122" i="1"/>
  <c r="L52" i="1"/>
  <c r="L16" i="1"/>
  <c r="L106" i="1"/>
  <c r="L90" i="1"/>
  <c r="L50" i="1"/>
  <c r="L115" i="1"/>
  <c r="L26" i="1"/>
  <c r="L143" i="1"/>
  <c r="L120" i="1"/>
  <c r="L74" i="1"/>
  <c r="L80" i="1"/>
  <c r="L63" i="1"/>
  <c r="L69" i="1"/>
  <c r="L11" i="1"/>
  <c r="L31" i="1"/>
  <c r="L107" i="1"/>
  <c r="L128" i="1"/>
  <c r="L55" i="1"/>
  <c r="L35" i="1"/>
  <c r="L48" i="1"/>
  <c r="L135" i="1"/>
  <c r="L77" i="1"/>
  <c r="L12" i="1"/>
  <c r="L87" i="1"/>
  <c r="L5" i="1"/>
  <c r="L130" i="1"/>
  <c r="L4" i="1"/>
  <c r="L51" i="1"/>
  <c r="L100" i="1"/>
  <c r="L28" i="1"/>
  <c r="L47" i="1"/>
  <c r="L36" i="1"/>
  <c r="L62" i="1"/>
  <c r="L25" i="1"/>
  <c r="L41" i="1"/>
  <c r="L97" i="1"/>
  <c r="L54" i="1"/>
  <c r="L78" i="1"/>
  <c r="L103" i="1"/>
  <c r="L8" i="1"/>
  <c r="L79" i="1"/>
  <c r="L14" i="1"/>
  <c r="L131" i="1"/>
  <c r="L58" i="1"/>
  <c r="L101" i="1"/>
  <c r="L98" i="1"/>
  <c r="L142" i="1"/>
  <c r="L59" i="1"/>
  <c r="L9" i="1"/>
  <c r="L108" i="1"/>
  <c r="L73" i="1"/>
  <c r="L149" i="1"/>
  <c r="L15" i="1"/>
  <c r="L104" i="1"/>
  <c r="L132" i="1"/>
  <c r="L13" i="1"/>
  <c r="L82" i="1"/>
  <c r="L141" i="1"/>
  <c r="L133" i="1"/>
  <c r="L18" i="1"/>
  <c r="L129" i="1"/>
  <c r="L57" i="1"/>
  <c r="L64" i="1"/>
  <c r="L134" i="1"/>
  <c r="L53" i="1"/>
  <c r="L137" i="1"/>
  <c r="L27" i="1"/>
  <c r="L88" i="1"/>
  <c r="L40" i="1"/>
  <c r="L43" i="1"/>
  <c r="L72" i="1"/>
  <c r="L117" i="1"/>
  <c r="L67" i="1"/>
  <c r="L66" i="1"/>
  <c r="L83" i="1"/>
  <c r="L110" i="1"/>
  <c r="L147" i="1"/>
  <c r="L125" i="1"/>
  <c r="L68" i="1"/>
  <c r="L32" i="1"/>
  <c r="L60" i="1"/>
  <c r="L126" i="1"/>
  <c r="L23" i="1"/>
  <c r="L45" i="1"/>
  <c r="L70" i="1"/>
  <c r="L34" i="1"/>
  <c r="L146" i="1"/>
  <c r="L3" i="1"/>
  <c r="L2" i="1"/>
</calcChain>
</file>

<file path=xl/sharedStrings.xml><?xml version="1.0" encoding="utf-8"?>
<sst xmlns="http://schemas.openxmlformats.org/spreadsheetml/2006/main" count="3850" uniqueCount="678">
  <si>
    <t>timestamp</t>
  </si>
  <si>
    <t>INITIAL_MESSAGE</t>
  </si>
  <si>
    <t>How long does it take to transfer money from ING to BDO?</t>
  </si>
  <si>
    <t>Pls. Can i guestion only! How much my money save to your bank? Coming to forex.</t>
  </si>
  <si>
    <t>Hi! My account is still not yet activated it's been 2 weeks,  kindly confirm thank you!</t>
  </si>
  <si>
    <t>Hi</t>
  </si>
  <si>
    <t>Civil service exam result october 3 2019</t>
  </si>
  <si>
    <t>Hi. I transferred some funds into my Unionbank account last night. When will it post on my Unionbank account?</t>
  </si>
  <si>
    <t>Sss id lng po government id ko</t>
  </si>
  <si>
    <t>Hi, I submitted my application to open an account back in August however when I open the app it says that my application is being processed. How long would it take to process my application?</t>
  </si>
  <si>
    <t>Hi, I forgot my login password! What should I do?</t>
  </si>
  <si>
    <t>I want to replace my driver's license which just renewed last month.</t>
  </si>
  <si>
    <t>For check deposit, can i deposit a check to my account with payee name 'cash'?</t>
  </si>
  <si>
    <t>Hi, I want to open an account using my married name but my passport and driver’s license are still in my maiden name. I tried my driver’s license but verification failed. The only ID that I have in my married name is my work ID.</t>
  </si>
  <si>
    <t>Why i dont receive sms verification number?</t>
  </si>
  <si>
    <t>I already uploaded updated proof of address</t>
  </si>
  <si>
    <t>How long is the processing when i perform cheque deposit on my account?</t>
  </si>
  <si>
    <t>Hi! How do you withdraw money via ATM?</t>
  </si>
  <si>
    <t>Twst</t>
  </si>
  <si>
    <t>Hi there!</t>
  </si>
  <si>
    <t>Hi Alistair. Chatted with Raj earlier but the session ended. Raj already assisted me earlier. Thank you.</t>
  </si>
  <si>
    <t>What if I don't have a document or passport? What should I do?</t>
  </si>
  <si>
    <t>Deposit has been rejected twice already. 3x i lost your chat support. Once and for all, may i get a decent help, do you not accept an MC for deposit??</t>
  </si>
  <si>
    <t>Hi how will i retrieve my pincode?thanks</t>
  </si>
  <si>
    <t>My account is still in verification I cant transfer money</t>
  </si>
  <si>
    <t>I have not received the money I transferred last night to BPI. Can you please check</t>
  </si>
  <si>
    <t>hi I just transferred to my metrobank account. I still have not seen it reflected in my account</t>
  </si>
  <si>
    <t>Please check the newly uploaded photo of billing statement</t>
  </si>
  <si>
    <t>Hi! Wondering how long does it take for interbank transfer to take place? Did a transaction after lunch and amount has not been placed since then. Hope you can help me as I need the money. Thank you</t>
  </si>
  <si>
    <t>hi</t>
  </si>
  <si>
    <t>Hello</t>
  </si>
  <si>
    <t>I don't know my pass coad</t>
  </si>
  <si>
    <t>Hello. I'd like to follow up on the activation of my account.</t>
  </si>
  <si>
    <t>I don't have umud Id but I don have the old sss id?</t>
  </si>
  <si>
    <t>n/a</t>
  </si>
  <si>
    <t>The money i transferred since last friday has not been credited yet to the destination account!!!!!</t>
  </si>
  <si>
    <t>Hello!</t>
  </si>
  <si>
    <t>Why my account is still unavailable? Thank you</t>
  </si>
  <si>
    <t>I don't remember my passcode</t>
  </si>
  <si>
    <t>hi are philhealth id are ok ?</t>
  </si>
  <si>
    <t>How long will it take if i transfer back money to my other bank acct?</t>
  </si>
  <si>
    <t>Hi there, 
how is my application? Thanks</t>
  </si>
  <si>
    <t>Hi, why is my deposit via gcash not yet reflected in my account</t>
  </si>
  <si>
    <t>For loan</t>
  </si>
  <si>
    <t>How to check my recent cheque deposit?</t>
  </si>
  <si>
    <t>I'm not id</t>
  </si>
  <si>
    <t>how can i deposit?</t>
  </si>
  <si>
    <t>Good day, how to compute for monthly monthly interest?</t>
  </si>
  <si>
    <t>ING any update about my concerns... Please</t>
  </si>
  <si>
    <t>Hi why is still my application still in progress? What is the status of it?</t>
  </si>
  <si>
    <t>How do I transfer to my account via online banking of a different bank</t>
  </si>
  <si>
    <t>Hi. I would like to ask if my account is still active. Thanks!</t>
  </si>
  <si>
    <t>i have a problem with one of my transfers</t>
  </si>
  <si>
    <t>How if i dont have id..my id is only voters id</t>
  </si>
  <si>
    <t>Is a maintaining balance required?</t>
  </si>
  <si>
    <t>cant open my acct</t>
  </si>
  <si>
    <t>Can i use another id for verification?</t>
  </si>
  <si>
    <t>Hi, I opened the account using my married name but my passport is till in my maiden name. Where should I upload my marriage certificate as proof?</t>
  </si>
  <si>
    <t>how to take bank to bank deposit?</t>
  </si>
  <si>
    <t>How will I do the bank-to-bank deposit??</t>
  </si>
  <si>
    <t>Hello. I am being requested to present an ID bearing my signature. What I currently have is a new passport which does not really have a signature since it is digital. What to do? I have an old passport but it is under my single name.</t>
  </si>
  <si>
    <t>Ang kamag anak kung c jessica aquino ramos (late) ay may naiwan na acc. Gusto ko po sana buksan itu para saakin dahil patay na po siya</t>
  </si>
  <si>
    <t>You had an email telling that you have rejected my check deposit. Can I deposit it again?</t>
  </si>
  <si>
    <t>Hey arc</t>
  </si>
  <si>
    <t>Ot won't recognize my face and taking so long</t>
  </si>
  <si>
    <t>Your virifecation code not working</t>
  </si>
  <si>
    <t>Hi! My account is temporarily limited because my address does not match. Can you help me with this? I already matched my address but my account is not yet activated. I really need to make a transaction today.</t>
  </si>
  <si>
    <t>please update my profile, i already edit my profile. i cant transfer to my bank account.</t>
  </si>
  <si>
    <t>Still unable to create account</t>
  </si>
  <si>
    <t>I've been getting message to complete my address where in fact I already provided everything I could. I don't know what else to put anymore.</t>
  </si>
  <si>
    <t>Hello there</t>
  </si>
  <si>
    <t>Where is my referral code here</t>
  </si>
  <si>
    <t>hi, why don't i have an acct number?</t>
  </si>
  <si>
    <t>gusto ko lang po magtanong kung nahuhulugan po ba yung sss ko salamat po</t>
  </si>
  <si>
    <t>Hello ING I have a problem first I was able to opened an account online under my name with wrong spelling Gallego Cahili Gallego and also scan my IDs I start deposite to my account 1000 pesos</t>
  </si>
  <si>
    <t>Can you help me regarding my transfer of 1000 from ING to my bank account. Because according to my dashboard 1000 has already been transferred but according to my bank account no 1000 was transferred.. Your immediate response regarding this matter is very much appreciated..</t>
  </si>
  <si>
    <t>theres something wrong in my update addresd it cannot proceed to next step</t>
  </si>
  <si>
    <t>Hello! I forgot my PIN :( how do I retrieve or change it?</t>
  </si>
  <si>
    <t>Test. Good morning!</t>
  </si>
  <si>
    <t>Interest Rate</t>
  </si>
  <si>
    <t>Naka I lang ulit na magpasa puro failed</t>
  </si>
  <si>
    <t>I don't understand the issue. I had already submitted my driver's license which has a signature. how come i still get the same concern that hinders me from activating my account?</t>
  </si>
  <si>
    <t>How long it takes to transfer fund in BDO account bank?</t>
  </si>
  <si>
    <t>hello</t>
  </si>
  <si>
    <t>I have updated my profile for account verification.</t>
  </si>
  <si>
    <t>Ilang minutes bago ma access yung mukha</t>
  </si>
  <si>
    <t>Hi, can I request for a bank certificate? If yes, how?</t>
  </si>
  <si>
    <t>Hello bigyan niyo po ako ng 100,000 na diamond sa ml</t>
  </si>
  <si>
    <t>I got disconnected with Kara</t>
  </si>
  <si>
    <t>Hi! Can I submit a different Government ID? Like a PRC ID? Thank you.</t>
  </si>
  <si>
    <t>I dont have identification cards</t>
  </si>
  <si>
    <t>How to update billing address</t>
  </si>
  <si>
    <t>Hi! How do I change my email address here? I want to use my Outlook email instead of Gmail that I’m using now</t>
  </si>
  <si>
    <t>What do I do with the physical Check after I ddeposit?</t>
  </si>
  <si>
    <t>Hi. I initiated an InstaPay bank transfer for PHP 7,151.52 from my GCash wallet to my ING Bank account yesterday, 8 October 2019 at exactly 2:01pm. The funds have not yet been credited to my ING account. GCash advised me to check with you, ING, about it and give you ticket number 257953 from their confirmation page. Can you check what is going on?</t>
  </si>
  <si>
    <t>how much is the minimum deposit to open an account?</t>
  </si>
  <si>
    <t>Sir plsss 
help me dis apps</t>
  </si>
  <si>
    <t>would like to know when it will appear in my CIMB the money i transferred last  night</t>
  </si>
  <si>
    <t>I submitted my id yesterday</t>
  </si>
  <si>
    <t>Hi. May I know how much is the fee for each withdrawal or fund transfer?</t>
  </si>
  <si>
    <t>Say if my name is Ma. Cristina and someone issues me a cheque that says Ma Cristina. Will it be a problem?</t>
  </si>
  <si>
    <t>How to make it password??</t>
  </si>
  <si>
    <t>Hi I just want to get an update regarding my application</t>
  </si>
  <si>
    <t>How many hours that my ING account  be Credited From Coins.ph transfered?</t>
  </si>
  <si>
    <t>I wast disconnected</t>
  </si>
  <si>
    <t>How long it’s gonna take for my account to be verified?</t>
  </si>
  <si>
    <t>how to loan?</t>
  </si>
  <si>
    <t>i only have postal id</t>
  </si>
  <si>
    <t>What if my Id is not listed as one of the ids you are requesting?</t>
  </si>
  <si>
    <t>Hi. I'm having trouble with the verification process, I'm following the instructions but its still failing.</t>
  </si>
  <si>
    <t>Hi. When will my account be fully activated?</t>
  </si>
  <si>
    <t>I forgot my pin can you help me pls.</t>
  </si>
  <si>
    <t>Pwede po bang malaman kung paano ang instraction or kung makapasok d2...</t>
  </si>
  <si>
    <t>I cant priloceed</t>
  </si>
  <si>
    <t>I deposited a BPI check earlier but I indicated the wrong deposit date at the back of the check. How should I correct this?</t>
  </si>
  <si>
    <t>Can i transfer via gcash?</t>
  </si>
  <si>
    <t>Now my problem is that the money is deducted from my citi bank account and it is not being reflected in my account here</t>
  </si>
  <si>
    <t>My email?</t>
  </si>
  <si>
    <t>I'm submitting my edited address but it always says "something went wrong"</t>
  </si>
  <si>
    <t>How long it will take for my account to be activated. Been waiting for so long to transfer funds</t>
  </si>
  <si>
    <t>Pano naging mali address ko. Activated na ito kanina pag registered ko.</t>
  </si>
  <si>
    <t>My transfer has not received yet</t>
  </si>
  <si>
    <t>Yes</t>
  </si>
  <si>
    <t>My transfer button is greyed out</t>
  </si>
  <si>
    <t>Is there another way to put in money other than check?</t>
  </si>
  <si>
    <t>Could you kindly advice what exact time my deposit via INSTAPAY was credited to my account yesterday?</t>
  </si>
  <si>
    <t>can you help me?</t>
  </si>
  <si>
    <t>My legal name is already updated</t>
  </si>
  <si>
    <t>Hi ive transfer 5000 thru my BPI account using my ING, Till now no one has come to my BPI ACCOUNT</t>
  </si>
  <si>
    <t>I recently moved in to a new home. My account takes too long to verify mu new address so I edited mynprofile and reverted back to my old address as reflected in my ID. Please verify my account soon. Its been more than a week. Thank you.</t>
  </si>
  <si>
    <t>I want to transfer from metrobank to ing through mobile, but the metrobank app is asking for a 13 digit account number and i only have 12 digits</t>
  </si>
  <si>
    <t>How do I enroll a second phone number</t>
  </si>
  <si>
    <t>Hi.i just wanted to check the status of my account? I recently opened an account and have resubmitted the proof of billing as the first  submission was blurred..can you please confirm when this will be activated?</t>
  </si>
  <si>
    <t>with  my  address  i  can  change?</t>
  </si>
  <si>
    <t>product family</t>
  </si>
  <si>
    <t>detailed product</t>
  </si>
  <si>
    <t>product attribute</t>
  </si>
  <si>
    <t>channel</t>
  </si>
  <si>
    <t>action</t>
  </si>
  <si>
    <t>action attribute</t>
  </si>
  <si>
    <t>accounts</t>
  </si>
  <si>
    <t>accident insurance</t>
  </si>
  <si>
    <t>abroad</t>
  </si>
  <si>
    <t>advise</t>
  </si>
  <si>
    <t>activate</t>
  </si>
  <si>
    <t>client abroad</t>
  </si>
  <si>
    <t>cards</t>
  </si>
  <si>
    <t>added value mortgage</t>
  </si>
  <si>
    <t>abroad (out EU)</t>
  </si>
  <si>
    <t>apple pay</t>
  </si>
  <si>
    <t>apply</t>
  </si>
  <si>
    <t>don't understand</t>
  </si>
  <si>
    <t>ing store</t>
  </si>
  <si>
    <t>annuity insurance</t>
  </si>
  <si>
    <t>access</t>
  </si>
  <si>
    <t>appointment</t>
  </si>
  <si>
    <t>apply channel</t>
  </si>
  <si>
    <t>failed</t>
  </si>
  <si>
    <t>insurances</t>
  </si>
  <si>
    <t>annuity mortgage</t>
  </si>
  <si>
    <t>access code</t>
  </si>
  <si>
    <t>atm</t>
  </si>
  <si>
    <t>block</t>
  </si>
  <si>
    <t>fingerprint</t>
  </si>
  <si>
    <t>investments</t>
  </si>
  <si>
    <t>asset management</t>
  </si>
  <si>
    <t>account</t>
  </si>
  <si>
    <t>atm (deposit)</t>
  </si>
  <si>
    <t>cancel</t>
  </si>
  <si>
    <t>forgotten</t>
  </si>
  <si>
    <t>loans</t>
  </si>
  <si>
    <t>bank savings mortgage</t>
  </si>
  <si>
    <t>account holder</t>
  </si>
  <si>
    <t>atm (non-ING)</t>
  </si>
  <si>
    <t>change</t>
  </si>
  <si>
    <t>install</t>
  </si>
  <si>
    <t>mortgages</t>
  </si>
  <si>
    <t>bicycle insurance</t>
  </si>
  <si>
    <t>account name</t>
  </si>
  <si>
    <t>balance line</t>
  </si>
  <si>
    <t>change -</t>
  </si>
  <si>
    <t>insufficient funds</t>
  </si>
  <si>
    <t>payments</t>
  </si>
  <si>
    <t>bonus interest account</t>
  </si>
  <si>
    <t>account number</t>
  </si>
  <si>
    <t>branch</t>
  </si>
  <si>
    <t>change +</t>
  </si>
  <si>
    <t>log in/out</t>
  </si>
  <si>
    <t>undefined</t>
  </si>
  <si>
    <t>bullet mortgage</t>
  </si>
  <si>
    <t>account type</t>
  </si>
  <si>
    <t>branch (servicepoint)</t>
  </si>
  <si>
    <t>check</t>
  </si>
  <si>
    <t>not approved</t>
  </si>
  <si>
    <t>business account</t>
  </si>
  <si>
    <t>activation code</t>
  </si>
  <si>
    <t>department</t>
  </si>
  <si>
    <t>check channel</t>
  </si>
  <si>
    <t>not confirmed</t>
  </si>
  <si>
    <t>business insurance</t>
  </si>
  <si>
    <t>additional repayment</t>
  </si>
  <si>
    <t>email</t>
  </si>
  <si>
    <t>complaint</t>
  </si>
  <si>
    <t>not debited</t>
  </si>
  <si>
    <t>business loan</t>
  </si>
  <si>
    <t>additional repayment (this year)</t>
  </si>
  <si>
    <t>ideal</t>
  </si>
  <si>
    <t>end</t>
  </si>
  <si>
    <t>not retrieved</t>
  </si>
  <si>
    <t>business savings account</t>
  </si>
  <si>
    <t>address</t>
  </si>
  <si>
    <t>ing head quarters</t>
  </si>
  <si>
    <t>inform</t>
  </si>
  <si>
    <t>opening hours</t>
  </si>
  <si>
    <t>cancellation insurance</t>
  </si>
  <si>
    <t>ing scanner</t>
  </si>
  <si>
    <t>inform channel</t>
  </si>
  <si>
    <t>outage</t>
  </si>
  <si>
    <t>capital insurance</t>
  </si>
  <si>
    <t>agreement</t>
  </si>
  <si>
    <t>letter</t>
  </si>
  <si>
    <t>inform new</t>
  </si>
  <si>
    <t>signiture &amp; stamp</t>
  </si>
  <si>
    <t>car insurance</t>
  </si>
  <si>
    <t>amount</t>
  </si>
  <si>
    <t>mail</t>
  </si>
  <si>
    <t>merge</t>
  </si>
  <si>
    <t>state_blocked</t>
  </si>
  <si>
    <t>car loan</t>
  </si>
  <si>
    <t>application state</t>
  </si>
  <si>
    <t>mobile</t>
  </si>
  <si>
    <t>receive</t>
  </si>
  <si>
    <t>state_closed</t>
  </si>
  <si>
    <t>cash</t>
  </si>
  <si>
    <t>australian dollars</t>
  </si>
  <si>
    <t>online</t>
  </si>
  <si>
    <t>replace</t>
  </si>
  <si>
    <t>unapproved</t>
  </si>
  <si>
    <t>child account</t>
  </si>
  <si>
    <t>authorization</t>
  </si>
  <si>
    <t>online banking</t>
  </si>
  <si>
    <t>sign</t>
  </si>
  <si>
    <t>update</t>
  </si>
  <si>
    <t>child savings account</t>
  </si>
  <si>
    <t>automatic saving</t>
  </si>
  <si>
    <t>online banking mobile app</t>
  </si>
  <si>
    <t>supply</t>
  </si>
  <si>
    <t>vacancies</t>
  </si>
  <si>
    <t>coins</t>
  </si>
  <si>
    <t>balance</t>
  </si>
  <si>
    <t>online banking mobile app Android</t>
  </si>
  <si>
    <t>unblock</t>
  </si>
  <si>
    <t>without card</t>
  </si>
  <si>
    <t>credit card</t>
  </si>
  <si>
    <t>bank guarantee</t>
  </si>
  <si>
    <t>online banking mobile app iOS</t>
  </si>
  <si>
    <t>credit card (student)</t>
  </si>
  <si>
    <t>begunstigde</t>
  </si>
  <si>
    <t>paypal</t>
  </si>
  <si>
    <t>current account</t>
  </si>
  <si>
    <t>bic</t>
  </si>
  <si>
    <t>phone</t>
  </si>
  <si>
    <t>custom insurance</t>
  </si>
  <si>
    <t>bkr registration</t>
  </si>
  <si>
    <t>postal office</t>
  </si>
  <si>
    <t>debit card</t>
  </si>
  <si>
    <t>building depot</t>
  </si>
  <si>
    <t>shop</t>
  </si>
  <si>
    <t>debit card - joint account</t>
  </si>
  <si>
    <t>buy</t>
  </si>
  <si>
    <t>sms</t>
  </si>
  <si>
    <t>debit card - world</t>
  </si>
  <si>
    <t>buy off</t>
  </si>
  <si>
    <t>tikkie</t>
  </si>
  <si>
    <t>debit card business</t>
  </si>
  <si>
    <t>buy off statement</t>
  </si>
  <si>
    <t>webshop</t>
  </si>
  <si>
    <t>deposito</t>
  </si>
  <si>
    <t>calculation</t>
  </si>
  <si>
    <t>western union</t>
  </si>
  <si>
    <t>direct debit</t>
  </si>
  <si>
    <t>cancellation</t>
  </si>
  <si>
    <t>zoomit</t>
  </si>
  <si>
    <t>foreign money</t>
  </si>
  <si>
    <t>capital accumulation</t>
  </si>
  <si>
    <t>funeral insurance</t>
  </si>
  <si>
    <t>certificate</t>
  </si>
  <si>
    <t>g account</t>
  </si>
  <si>
    <t>gift card</t>
  </si>
  <si>
    <t>changes</t>
  </si>
  <si>
    <t>grow bigger account</t>
  </si>
  <si>
    <t>claim</t>
  </si>
  <si>
    <t>house-contents insurance</t>
  </si>
  <si>
    <t>code</t>
  </si>
  <si>
    <t>housing insurance</t>
  </si>
  <si>
    <t>collection message</t>
  </si>
  <si>
    <t>income supplement depot</t>
  </si>
  <si>
    <t>confirmation</t>
  </si>
  <si>
    <t>ing credit card business</t>
  </si>
  <si>
    <t>confirmation code</t>
  </si>
  <si>
    <t>ing triodos greenfund</t>
  </si>
  <si>
    <t>contact details</t>
  </si>
  <si>
    <t>interest only mortgage</t>
  </si>
  <si>
    <t>contactless payments (NFC)</t>
  </si>
  <si>
    <t>interim credit</t>
  </si>
  <si>
    <t>contract</t>
  </si>
  <si>
    <t>investement property</t>
  </si>
  <si>
    <t>correspondence</t>
  </si>
  <si>
    <t>investment account</t>
  </si>
  <si>
    <t>cost</t>
  </si>
  <si>
    <t>investment fund</t>
  </si>
  <si>
    <t>costs</t>
  </si>
  <si>
    <t>investment mortgage</t>
  </si>
  <si>
    <t>costs (abroad)</t>
  </si>
  <si>
    <t>investment portfolio</t>
  </si>
  <si>
    <t>coverage</t>
  </si>
  <si>
    <t>legal insurance</t>
  </si>
  <si>
    <t>coverage (abroad)</t>
  </si>
  <si>
    <t>liability insurance</t>
  </si>
  <si>
    <t>coverage (worldwide)</t>
  </si>
  <si>
    <t>life insurance</t>
  </si>
  <si>
    <t>credit</t>
  </si>
  <si>
    <t>life testament</t>
  </si>
  <si>
    <t>damaged</t>
  </si>
  <si>
    <t>life-course account</t>
  </si>
  <si>
    <t>debt</t>
  </si>
  <si>
    <t>loan joint account</t>
  </si>
  <si>
    <t>debt/market value</t>
  </si>
  <si>
    <t>mastercard</t>
  </si>
  <si>
    <t>deferral</t>
  </si>
  <si>
    <t>mortgage bridge loan</t>
  </si>
  <si>
    <t>delivery</t>
  </si>
  <si>
    <t>orange package</t>
  </si>
  <si>
    <t>delivery address</t>
  </si>
  <si>
    <t>orange savings account</t>
  </si>
  <si>
    <t>deposit</t>
  </si>
  <si>
    <t>pension</t>
  </si>
  <si>
    <t>deposit (costs)</t>
  </si>
  <si>
    <t>pension savings account</t>
  </si>
  <si>
    <t>deposit (large amount)</t>
  </si>
  <si>
    <t>personal loan</t>
  </si>
  <si>
    <t>description</t>
  </si>
  <si>
    <t>prepaid credit card</t>
  </si>
  <si>
    <t>destination</t>
  </si>
  <si>
    <t>profit savings account</t>
  </si>
  <si>
    <t>revolving credit</t>
  </si>
  <si>
    <t>discount</t>
  </si>
  <si>
    <t>royal package</t>
  </si>
  <si>
    <t>dividend</t>
  </si>
  <si>
    <t>salary savings account</t>
  </si>
  <si>
    <t>double payment</t>
  </si>
  <si>
    <t>savings account</t>
  </si>
  <si>
    <t>duration</t>
  </si>
  <si>
    <t>savings account (joint)</t>
  </si>
  <si>
    <t>email address</t>
  </si>
  <si>
    <t>securities</t>
  </si>
  <si>
    <t>end of term</t>
  </si>
  <si>
    <t>shares</t>
  </si>
  <si>
    <t>enddate</t>
  </si>
  <si>
    <t>special offer</t>
  </si>
  <si>
    <t>envelopes</t>
  </si>
  <si>
    <t>student account</t>
  </si>
  <si>
    <t>exchange</t>
  </si>
  <si>
    <t>student insurance</t>
  </si>
  <si>
    <t>execution date</t>
  </si>
  <si>
    <t>student loan</t>
  </si>
  <si>
    <t>expansion</t>
  </si>
  <si>
    <t>term life insurance</t>
  </si>
  <si>
    <t>expiration</t>
  </si>
  <si>
    <t>top account</t>
  </si>
  <si>
    <t>extra</t>
  </si>
  <si>
    <t>transaction</t>
  </si>
  <si>
    <t>extra account</t>
  </si>
  <si>
    <t>travel insurance</t>
  </si>
  <si>
    <t>extra card</t>
  </si>
  <si>
    <t>vault</t>
  </si>
  <si>
    <t>extra deposit</t>
  </si>
  <si>
    <t>visa</t>
  </si>
  <si>
    <t>extra mortage</t>
  </si>
  <si>
    <t>voucher</t>
  </si>
  <si>
    <t>extra repayment</t>
  </si>
  <si>
    <t>youth account</t>
  </si>
  <si>
    <t>fine</t>
  </si>
  <si>
    <t>youth savings account</t>
  </si>
  <si>
    <t>form</t>
  </si>
  <si>
    <t>found card</t>
  </si>
  <si>
    <t>from_cc</t>
  </si>
  <si>
    <t>ground lease</t>
  </si>
  <si>
    <t>iban</t>
  </si>
  <si>
    <t>identity information</t>
  </si>
  <si>
    <t>inbox</t>
  </si>
  <si>
    <t>increase</t>
  </si>
  <si>
    <t>info</t>
  </si>
  <si>
    <t>installment note</t>
  </si>
  <si>
    <t>installment payment</t>
  </si>
  <si>
    <t>instant payments</t>
  </si>
  <si>
    <t>interest</t>
  </si>
  <si>
    <t>interest (change)</t>
  </si>
  <si>
    <t>interest (fixed rate period)</t>
  </si>
  <si>
    <t>interest (middle out)</t>
  </si>
  <si>
    <t>interest change</t>
  </si>
  <si>
    <t>interest prolongation</t>
  </si>
  <si>
    <t>language settings</t>
  </si>
  <si>
    <t>large amount</t>
  </si>
  <si>
    <t>large denominations</t>
  </si>
  <si>
    <t>legal representative</t>
  </si>
  <si>
    <t>lender</t>
  </si>
  <si>
    <t>liability</t>
  </si>
  <si>
    <t>limit</t>
  </si>
  <si>
    <t>limit (abroad - withdraw)</t>
  </si>
  <si>
    <t>limit (abroad)</t>
  </si>
  <si>
    <t>limit (daily - temporary)</t>
  </si>
  <si>
    <t>limit (daily - withdraw)</t>
  </si>
  <si>
    <t>limit (daily)</t>
  </si>
  <si>
    <t>limit (temporary)</t>
  </si>
  <si>
    <t>limit (withdraw)</t>
  </si>
  <si>
    <t>linked account</t>
  </si>
  <si>
    <t>linked_account</t>
  </si>
  <si>
    <t>login codes</t>
  </si>
  <si>
    <t>lost</t>
  </si>
  <si>
    <t>lost and found</t>
  </si>
  <si>
    <t>mail (for other person)</t>
  </si>
  <si>
    <t>mail (not delivered)</t>
  </si>
  <si>
    <t>management</t>
  </si>
  <si>
    <t>market value</t>
  </si>
  <si>
    <t>market value change</t>
  </si>
  <si>
    <t>market/value ratio</t>
  </si>
  <si>
    <t>name</t>
  </si>
  <si>
    <t>new card</t>
  </si>
  <si>
    <t>new phone</t>
  </si>
  <si>
    <t>note</t>
  </si>
  <si>
    <t>number</t>
  </si>
  <si>
    <t>order</t>
  </si>
  <si>
    <t>origin</t>
  </si>
  <si>
    <t>pay off</t>
  </si>
  <si>
    <t>pay out</t>
  </si>
  <si>
    <t>payment</t>
  </si>
  <si>
    <t>payment (abroad)</t>
  </si>
  <si>
    <t>payment arrears</t>
  </si>
  <si>
    <t>payment duration</t>
  </si>
  <si>
    <t>payment info</t>
  </si>
  <si>
    <t>payment plan</t>
  </si>
  <si>
    <t>payment reminder</t>
  </si>
  <si>
    <t>payment request</t>
  </si>
  <si>
    <t>payout</t>
  </si>
  <si>
    <t>period</t>
  </si>
  <si>
    <t>personal details</t>
  </si>
  <si>
    <t>phone number</t>
  </si>
  <si>
    <t>pincode</t>
  </si>
  <si>
    <t>pledge</t>
  </si>
  <si>
    <t>points</t>
  </si>
  <si>
    <t>policy</t>
  </si>
  <si>
    <t>possible fraud</t>
  </si>
  <si>
    <t>premium</t>
  </si>
  <si>
    <t>price</t>
  </si>
  <si>
    <t>priority transfer</t>
  </si>
  <si>
    <t>privacy</t>
  </si>
  <si>
    <t>prolongation</t>
  </si>
  <si>
    <t>promotion</t>
  </si>
  <si>
    <t>purchase</t>
  </si>
  <si>
    <t>quotation</t>
  </si>
  <si>
    <t>refinance</t>
  </si>
  <si>
    <t>refinance fine</t>
  </si>
  <si>
    <t>refund</t>
  </si>
  <si>
    <t>rejection</t>
  </si>
  <si>
    <t>release</t>
  </si>
  <si>
    <t>repairment</t>
  </si>
  <si>
    <t>repayment</t>
  </si>
  <si>
    <t>repayment confirmation</t>
  </si>
  <si>
    <t>repayment note</t>
  </si>
  <si>
    <t>repayment partial</t>
  </si>
  <si>
    <t>repayment table</t>
  </si>
  <si>
    <t>reservation</t>
  </si>
  <si>
    <t>residual debt</t>
  </si>
  <si>
    <t>retrieval</t>
  </si>
  <si>
    <t>return</t>
  </si>
  <si>
    <t>risk class</t>
  </si>
  <si>
    <t>risk premium interest</t>
  </si>
  <si>
    <t>salary information</t>
  </si>
  <si>
    <t>sale</t>
  </si>
  <si>
    <t>saving goal</t>
  </si>
  <si>
    <t>scheduled tasks</t>
  </si>
  <si>
    <t>second building</t>
  </si>
  <si>
    <t>secure code</t>
  </si>
  <si>
    <t>security</t>
  </si>
  <si>
    <t>security camera footage</t>
  </si>
  <si>
    <t>seizure</t>
  </si>
  <si>
    <t>settlement</t>
  </si>
  <si>
    <t>signature</t>
  </si>
  <si>
    <t>specific item</t>
  </si>
  <si>
    <t>specific transaction reporting</t>
  </si>
  <si>
    <t>state_refused</t>
  </si>
  <si>
    <t>statement</t>
  </si>
  <si>
    <t>statement (cancellation)</t>
  </si>
  <si>
    <t>statement (current balance)</t>
  </si>
  <si>
    <t>statement (financing)</t>
  </si>
  <si>
    <t>statement (fiscally)</t>
  </si>
  <si>
    <t>statement (purchase)</t>
  </si>
  <si>
    <t>statement (quarterly)</t>
  </si>
  <si>
    <t>statement (solvency)</t>
  </si>
  <si>
    <t>statement (yearly)</t>
  </si>
  <si>
    <t>statement folder</t>
  </si>
  <si>
    <t>status</t>
  </si>
  <si>
    <t>supplement</t>
  </si>
  <si>
    <t>surplus value</t>
  </si>
  <si>
    <t>swift code</t>
  </si>
  <si>
    <t>tan codes</t>
  </si>
  <si>
    <t>tax</t>
  </si>
  <si>
    <t>to_cc</t>
  </si>
  <si>
    <t>to_coins</t>
  </si>
  <si>
    <t>to_currentacc</t>
  </si>
  <si>
    <t>to_investacc</t>
  </si>
  <si>
    <t>to_savingsacc</t>
  </si>
  <si>
    <t>transfer</t>
  </si>
  <si>
    <t>transfer booklet</t>
  </si>
  <si>
    <t>translation</t>
  </si>
  <si>
    <t>type</t>
  </si>
  <si>
    <t>update form</t>
  </si>
  <si>
    <t>user name password</t>
  </si>
  <si>
    <t>verification code</t>
  </si>
  <si>
    <t>waranty</t>
  </si>
  <si>
    <t>withdrawal</t>
  </si>
  <si>
    <t>withdrawal (abroad - costs)</t>
  </si>
  <si>
    <t>withdrawal (abroad)</t>
  </si>
  <si>
    <t>withdrawal (large amount)</t>
  </si>
  <si>
    <t>withdrawal (without card)</t>
  </si>
  <si>
    <t>withhold</t>
  </si>
  <si>
    <t>withhold (abroad)</t>
  </si>
  <si>
    <t>without_authorization</t>
  </si>
  <si>
    <t>index</t>
  </si>
  <si>
    <t>welcome</t>
  </si>
  <si>
    <t>comment</t>
  </si>
  <si>
    <t>safe</t>
  </si>
  <si>
    <t>other</t>
  </si>
  <si>
    <t>rules, if all undefined add comment</t>
  </si>
  <si>
    <t>transfer=payment</t>
  </si>
  <si>
    <t>ph lang</t>
  </si>
  <si>
    <t>ambiguities</t>
  </si>
  <si>
    <t>inform how to change password // request new password</t>
  </si>
  <si>
    <t>driving license</t>
  </si>
  <si>
    <t>no match</t>
  </si>
  <si>
    <t>time</t>
  </si>
  <si>
    <t>from/to ing distinction for pyament?</t>
  </si>
  <si>
    <t>garbage</t>
  </si>
  <si>
    <t>previous conversation</t>
  </si>
  <si>
    <t>XXX</t>
  </si>
  <si>
    <t>nothing</t>
  </si>
  <si>
    <t>lack info</t>
  </si>
  <si>
    <t>id means</t>
  </si>
  <si>
    <t>no enough info</t>
  </si>
  <si>
    <t>waht if issue when changing</t>
  </si>
  <si>
    <t>ko=ph lang</t>
  </si>
  <si>
    <t>fee</t>
  </si>
  <si>
    <t>switch agent</t>
  </si>
  <si>
    <t xml:space="preserve">AS PRODUCT ATTRIBUTE? </t>
  </si>
  <si>
    <t>yes</t>
  </si>
  <si>
    <t>Row Labels</t>
  </si>
  <si>
    <t>(blank)</t>
  </si>
  <si>
    <t>Grand Total</t>
  </si>
  <si>
    <t>face recognition</t>
  </si>
  <si>
    <t>verification</t>
  </si>
  <si>
    <t>not clear, in which column is PIN / password</t>
  </si>
  <si>
    <t>bank certificate</t>
  </si>
  <si>
    <t>minimum deposit</t>
  </si>
  <si>
    <t>refereal code</t>
  </si>
  <si>
    <t>legal name</t>
  </si>
  <si>
    <t>maintaining balance</t>
  </si>
  <si>
    <t>Count of product family</t>
  </si>
  <si>
    <t>intent</t>
  </si>
  <si>
    <t>Count of intent</t>
  </si>
  <si>
    <t>About something unknown</t>
  </si>
  <si>
    <t>Client wants to check something unknown</t>
  </si>
  <si>
    <t>About an unspecified account</t>
  </si>
  <si>
    <t>About an unspecified loan</t>
  </si>
  <si>
    <t>About an unspecified payment</t>
  </si>
  <si>
    <t>Client needs information about an unspecified account</t>
  </si>
  <si>
    <t>Client needs information about an unspecified loan</t>
  </si>
  <si>
    <t>Client needs information about an unspecified payment</t>
  </si>
  <si>
    <t>Client needs information about his cash</t>
  </si>
  <si>
    <t>Client needs information about something unknown</t>
  </si>
  <si>
    <t>Client needs information about the fee for an unspecified payment</t>
  </si>
  <si>
    <t>Client needs information about the id means for something unknown</t>
  </si>
  <si>
    <t>Client needs information about the not approved for an unspecified account</t>
  </si>
  <si>
    <t>Client needs information about the not approved for an unspecified payment</t>
  </si>
  <si>
    <t>Client needs information about the safe for something unknown</t>
  </si>
  <si>
    <t>Client needs information about the time for an unspecified account</t>
  </si>
  <si>
    <t>Client needs information about the time for an unspecified payment</t>
  </si>
  <si>
    <t>Client wants to activate an unspecified account</t>
  </si>
  <si>
    <t>Client wants to change + something unknown</t>
  </si>
  <si>
    <t>Client wants to change something unknown</t>
  </si>
  <si>
    <t>Client wants to check an unspecified account</t>
  </si>
  <si>
    <t>Client wants to check the driving license for an unspecified account</t>
  </si>
  <si>
    <t>Client wants to check the id means for something unknown</t>
  </si>
  <si>
    <t>Client wants to check the not approved for an unspecified account</t>
  </si>
  <si>
    <t>Client wants to check the not approved for something unknown</t>
  </si>
  <si>
    <t>Client wants to check the not retrieved for an unspecified payment</t>
  </si>
  <si>
    <t>Client wants to check the not retrieved for something unknown</t>
  </si>
  <si>
    <t>Client wants to check the state_blocked for an unspecified payment</t>
  </si>
  <si>
    <t>Client wants to check the time for an unspecified payment</t>
  </si>
  <si>
    <t>Client wants to replace the driving license for something unknown</t>
  </si>
  <si>
    <t>Column Labels</t>
  </si>
  <si>
    <t>Authorization</t>
  </si>
  <si>
    <t>Profile</t>
  </si>
  <si>
    <t>sub</t>
  </si>
  <si>
    <t>profile</t>
  </si>
  <si>
    <t>state</t>
  </si>
  <si>
    <t>investment</t>
  </si>
  <si>
    <t>insurance</t>
  </si>
  <si>
    <t>communication</t>
  </si>
  <si>
    <t>loan</t>
  </si>
  <si>
    <t>authorization, identification</t>
  </si>
  <si>
    <t>contract, validation</t>
  </si>
  <si>
    <t>location, settings</t>
  </si>
  <si>
    <t>value</t>
  </si>
  <si>
    <t>topic</t>
  </si>
  <si>
    <t>Column2</t>
  </si>
  <si>
    <t>credentials</t>
  </si>
  <si>
    <t>process time</t>
  </si>
  <si>
    <t>not received</t>
  </si>
  <si>
    <t>missing required credentials</t>
  </si>
  <si>
    <t>missing verification</t>
  </si>
  <si>
    <t>rejected check deposit</t>
  </si>
  <si>
    <t>wrong deposit date</t>
  </si>
  <si>
    <t>why / cause of issue / reason contact</t>
  </si>
  <si>
    <t>what / issue / status</t>
  </si>
  <si>
    <t>how / resolution</t>
  </si>
  <si>
    <t>rejected MC deposit</t>
  </si>
  <si>
    <t>check credentials</t>
  </si>
  <si>
    <t>wrong credentials</t>
  </si>
  <si>
    <t>id in maiden name account in married name</t>
  </si>
  <si>
    <t>update new id</t>
  </si>
  <si>
    <t>update new id without signature</t>
  </si>
  <si>
    <t>mismatch names</t>
  </si>
  <si>
    <t>mismatch account number</t>
  </si>
  <si>
    <t>missing account number</t>
  </si>
  <si>
    <t>missing referral code</t>
  </si>
  <si>
    <t>missing sms verification</t>
  </si>
  <si>
    <t>reason for rejection</t>
  </si>
  <si>
    <t>check sms</t>
  </si>
  <si>
    <t>disconnected dialogue</t>
  </si>
  <si>
    <t>Column3</t>
  </si>
  <si>
    <t>fails to submit</t>
  </si>
  <si>
    <t>fails to login</t>
  </si>
  <si>
    <t>fails face identification</t>
  </si>
  <si>
    <t>fails to open</t>
  </si>
  <si>
    <t>fails BPI check deposit</t>
  </si>
  <si>
    <t>instructions</t>
  </si>
  <si>
    <t>wants to do bank-bank deposit</t>
  </si>
  <si>
    <t>wants to loan</t>
  </si>
  <si>
    <t>wants to deposit</t>
  </si>
  <si>
    <t>wants to check deposit</t>
  </si>
  <si>
    <t>wants to do check deposit</t>
  </si>
  <si>
    <t>wants to transfer via gcash</t>
  </si>
  <si>
    <t>wants to do bank-bank transfer</t>
  </si>
  <si>
    <t>wants to withdraw via ATM</t>
  </si>
  <si>
    <t>wants to compute interest</t>
  </si>
  <si>
    <t>wants to know the fees</t>
  </si>
  <si>
    <t>wants to know the minimum balance</t>
  </si>
  <si>
    <t>wants to know the minimum deposit</t>
  </si>
  <si>
    <t>fails to transfer</t>
  </si>
  <si>
    <t>speaks foreign language</t>
  </si>
  <si>
    <t>fails to create/activate</t>
  </si>
  <si>
    <t>has verification issues</t>
  </si>
  <si>
    <t>Intent2</t>
  </si>
  <si>
    <t>to clarify question</t>
  </si>
  <si>
    <t>to repeat question in english</t>
  </si>
  <si>
    <t>information</t>
  </si>
  <si>
    <t xml:space="preserve"> a welcome reply</t>
  </si>
  <si>
    <t>Count of timestamp</t>
  </si>
  <si>
    <t>wants to submit different id</t>
  </si>
  <si>
    <t>starts dialogue</t>
  </si>
  <si>
    <t>a welcome reply</t>
  </si>
  <si>
    <t>pending process</t>
  </si>
  <si>
    <t>lost credentials</t>
  </si>
  <si>
    <t>wants to add phone number</t>
  </si>
  <si>
    <t>awaits activation</t>
  </si>
  <si>
    <t>renewal</t>
  </si>
  <si>
    <t>needs bank certificate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</si>
</sst>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7" x14ac:knownFonts="1">
    <font>
      <sz val="11"/>
      <color theme="1"/>
      <name val="Calibri"/>
      <family val="2"/>
      <scheme val="minor"/>
    </font>
    <font>
      <b/>
      <sz val="11"/>
      <name val="Calibri"/>
      <family val="2"/>
    </font>
    <font>
      <b/>
      <sz val="11"/>
      <color theme="1"/>
      <name val="Calibri"/>
      <family val="2"/>
      <scheme val="minor"/>
    </font>
    <font>
      <b/>
      <sz val="11"/>
      <name val="Calibri"/>
      <family val="2"/>
    </font>
    <font>
      <sz val="12"/>
      <color rgb="FF9C5700"/>
      <name val="Calibri"/>
      <family val="2"/>
      <scheme val="minor"/>
    </font>
    <font>
      <sz val="11"/>
      <color rgb="FF000000"/>
      <name val="Calibri"/>
      <family val="2"/>
      <scheme val="minor"/>
    </font>
    <font>
      <sz val="11"/>
      <name val="Calibri"/>
      <family val="2"/>
      <scheme val="minor"/>
    </font>
  </fonts>
  <fills count="19">
    <fill>
      <patternFill patternType="none"/>
    </fill>
    <fill>
      <patternFill patternType="gray125"/>
    </fill>
    <fill>
      <patternFill patternType="solid">
        <fgColor rgb="FFFFEB9C"/>
      </patternFill>
    </fill>
    <fill>
      <patternFill patternType="solid">
        <fgColor rgb="FFB8CCE4"/>
        <bgColor rgb="FFB8CCE4"/>
      </patternFill>
    </fill>
    <fill>
      <patternFill patternType="solid">
        <fgColor rgb="FFFFFF00"/>
        <bgColor indexed="64"/>
      </patternFill>
    </fill>
    <fill>
      <patternFill patternType="solid">
        <fgColor rgb="FF00B050"/>
        <bgColor indexed="64"/>
      </patternFill>
    </fill>
    <fill>
      <patternFill patternType="solid">
        <fgColor rgb="FF00B0F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6"/>
        <bgColor indexed="64"/>
      </patternFill>
    </fill>
    <fill>
      <patternFill patternType="solid">
        <fgColor theme="2" tint="-0.499984740745262"/>
        <bgColor indexed="64"/>
      </patternFill>
    </fill>
    <fill>
      <patternFill patternType="solid">
        <fgColor rgb="FF948A54"/>
        <bgColor rgb="FF000000"/>
      </patternFill>
    </fill>
    <fill>
      <patternFill patternType="solid">
        <fgColor theme="0" tint="-0.249977111117893"/>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rgb="FFFF0000"/>
        <bgColor indexed="64"/>
      </patternFill>
    </fill>
    <fill>
      <patternFill patternType="solid">
        <fgColor theme="6" tint="-0.249977111117893"/>
        <bgColor indexed="64"/>
      </patternFill>
    </fill>
    <fill>
      <patternFill patternType="solid">
        <fgColor rgb="FFFFFF00"/>
        <bgColor rgb="FFB8CCE4"/>
      </patternFill>
    </fill>
  </fills>
  <borders count="4">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rgb="FFFFFFFF"/>
      </left>
      <right style="thin">
        <color rgb="FFFFFFFF"/>
      </right>
      <top style="thin">
        <color rgb="FFFFFFFF"/>
      </top>
      <bottom style="thin">
        <color rgb="FFFFFFFF"/>
      </bottom>
      <diagonal/>
    </border>
  </borders>
  <cellStyleXfs count="2">
    <xf numFmtId="0" fontId="0" fillId="0" borderId="0"/>
    <xf numFmtId="0" fontId="4" fillId="2" borderId="0" applyNumberFormat="0" applyBorder="0" applyAlignment="0" applyProtection="0"/>
  </cellStyleXfs>
  <cellXfs count="44">
    <xf numFmtId="0" fontId="0" fillId="0" borderId="0" xfId="0"/>
    <xf numFmtId="0" fontId="1" fillId="0" borderId="1" xfId="0" applyFont="1" applyBorder="1" applyAlignment="1">
      <alignment horizontal="center" vertical="top"/>
    </xf>
    <xf numFmtId="164" fontId="0" fillId="0" borderId="0" xfId="0" applyNumberFormat="1"/>
    <xf numFmtId="0" fontId="2" fillId="0" borderId="0" xfId="0" applyFont="1"/>
    <xf numFmtId="0" fontId="1" fillId="0" borderId="1" xfId="0" applyFont="1" applyBorder="1" applyAlignment="1">
      <alignment horizontal="center" vertical="top" wrapText="1"/>
    </xf>
    <xf numFmtId="0" fontId="0" fillId="0" borderId="0" xfId="0" applyAlignment="1">
      <alignment wrapText="1"/>
    </xf>
    <xf numFmtId="0" fontId="3" fillId="0" borderId="1" xfId="0" applyFont="1" applyBorder="1" applyAlignment="1">
      <alignment horizontal="center" vertical="top" wrapText="1"/>
    </xf>
    <xf numFmtId="0" fontId="1" fillId="0" borderId="2" xfId="0" applyFont="1" applyBorder="1" applyAlignment="1">
      <alignment horizontal="center" vertical="top" wrapText="1"/>
    </xf>
    <xf numFmtId="0" fontId="3" fillId="0" borderId="2" xfId="0" applyFont="1" applyBorder="1" applyAlignment="1">
      <alignment horizontal="center" vertical="top" wrapText="1"/>
    </xf>
    <xf numFmtId="0" fontId="4" fillId="2" borderId="0" xfId="1"/>
    <xf numFmtId="0" fontId="5" fillId="3" borderId="3" xfId="0" applyFon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5" fillId="3" borderId="0" xfId="0" applyFont="1" applyFill="1" applyBorder="1"/>
    <xf numFmtId="0" fontId="0" fillId="0" borderId="3" xfId="0" applyBorder="1"/>
    <xf numFmtId="0" fontId="0" fillId="0" borderId="0" xfId="0" applyBorder="1"/>
    <xf numFmtId="0" fontId="6" fillId="4" borderId="0" xfId="0" applyFont="1" applyFill="1"/>
    <xf numFmtId="0" fontId="6" fillId="4" borderId="0" xfId="0" applyFont="1" applyFill="1" applyAlignment="1">
      <alignment wrapText="1"/>
    </xf>
    <xf numFmtId="0" fontId="0" fillId="4" borderId="0" xfId="0" applyFill="1" applyBorder="1"/>
    <xf numFmtId="0" fontId="0" fillId="4" borderId="0" xfId="0" applyFill="1"/>
    <xf numFmtId="0" fontId="0" fillId="4" borderId="3" xfId="0" applyFill="1" applyBorder="1"/>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4"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0" borderId="0" xfId="0" applyFill="1" applyAlignment="1">
      <alignment wrapText="1"/>
    </xf>
    <xf numFmtId="0" fontId="0" fillId="12" borderId="0" xfId="0" applyFill="1" applyAlignment="1">
      <alignment wrapText="1"/>
    </xf>
    <xf numFmtId="0" fontId="0" fillId="13" borderId="0" xfId="0" applyFill="1" applyAlignment="1">
      <alignment wrapText="1"/>
    </xf>
    <xf numFmtId="0" fontId="0" fillId="14" borderId="0" xfId="0" applyFill="1" applyAlignment="1">
      <alignment wrapText="1"/>
    </xf>
    <xf numFmtId="0" fontId="0" fillId="15" borderId="0" xfId="0" applyFill="1" applyAlignment="1">
      <alignment wrapText="1"/>
    </xf>
    <xf numFmtId="0" fontId="0" fillId="16" borderId="0" xfId="0" applyFill="1" applyAlignment="1">
      <alignment wrapText="1"/>
    </xf>
    <xf numFmtId="0" fontId="0" fillId="17" borderId="0" xfId="0" applyFill="1" applyAlignment="1">
      <alignment wrapText="1"/>
    </xf>
    <xf numFmtId="0" fontId="5" fillId="18" borderId="0" xfId="0" applyFont="1" applyFill="1" applyBorder="1"/>
    <xf numFmtId="0" fontId="5" fillId="18" borderId="3" xfId="0" applyFont="1" applyFill="1" applyBorder="1"/>
    <xf numFmtId="0" fontId="0" fillId="7" borderId="3" xfId="0" applyFill="1" applyBorder="1"/>
    <xf numFmtId="0" fontId="0" fillId="7" borderId="0" xfId="0" applyFill="1"/>
    <xf numFmtId="0" fontId="5" fillId="11" borderId="0" xfId="0" applyFont="1" applyFill="1" applyBorder="1" applyAlignment="1">
      <alignment wrapText="1"/>
    </xf>
    <xf numFmtId="0" fontId="6" fillId="10" borderId="0" xfId="0" applyFont="1" applyFill="1" applyAlignment="1">
      <alignment wrapText="1"/>
    </xf>
    <xf numFmtId="22" fontId="0" fillId="0" borderId="0" xfId="0" applyNumberFormat="1"/>
  </cellXfs>
  <cellStyles count="2">
    <cellStyle name="Neutral" xfId="1" builtinId="28"/>
    <cellStyle name="Normal" xfId="0" builtinId="0"/>
  </cellStyles>
  <dxfs count="16">
    <dxf>
      <numFmt numFmtId="27" formatCode="dd/mm/yyyy\ hh:mm"/>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yyyy\-mm\-dd\ hh:mm:ss"/>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1" indent="0" justifyLastLine="0" shrinkToFit="0" readingOrder="0"/>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family val="2"/>
        <scheme val="minor"/>
      </font>
    </dxf>
    <dxf>
      <numFmt numFmtId="0" formatCode="General"/>
    </dxf>
    <dxf>
      <alignment horizontal="general" vertical="bottom" textRotation="0" wrapText="1" indent="0" justifyLastLine="0" shrinkToFit="0" readingOrder="0"/>
    </dxf>
    <dxf>
      <numFmt numFmtId="164" formatCode="yyyy\-mm\-dd\ hh:mm:ss"/>
    </dxf>
    <dxf>
      <font>
        <b/>
        <i val="0"/>
        <strike val="0"/>
        <condense val="0"/>
        <extend val="0"/>
        <outline val="0"/>
        <shadow val="0"/>
        <u val="none"/>
        <vertAlign val="baseline"/>
        <sz val="11"/>
        <color auto="1"/>
        <name val="Calibri"/>
        <scheme val="none"/>
      </font>
      <alignment horizontal="center" vertical="top"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bottom style="thin">
          <color auto="1"/>
        </bottom>
      </border>
    </dxf>
    <dxf>
      <font>
        <b/>
        <i val="0"/>
        <strike val="0"/>
        <condense val="0"/>
        <extend val="0"/>
        <outline val="0"/>
        <shadow val="0"/>
        <u val="none"/>
        <vertAlign val="baseline"/>
        <sz val="11"/>
        <color auto="1"/>
        <name val="Calibri"/>
        <scheme val="none"/>
      </font>
      <alignment horizontal="center" vertical="top" textRotation="0" wrapText="1"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try, T. (Thomas)" refreshedDate="43802.63705578704" createdVersion="6" refreshedVersion="6" minRefreshableVersion="3" recordCount="150" xr:uid="{0066B075-F066-3946-AC45-12D283A32065}">
  <cacheSource type="worksheet">
    <worksheetSource name="Table2"/>
  </cacheSource>
  <cacheFields count="12">
    <cacheField name="index" numFmtId="0">
      <sharedItems containsSemiMixedTypes="0" containsString="0" containsNumber="1" containsInteger="1" minValue="116606" maxValue="200803"/>
    </cacheField>
    <cacheField name="timestamp" numFmtId="164">
      <sharedItems containsSemiMixedTypes="0" containsNonDate="0" containsDate="1" containsString="0" minDate="2019-10-02T06:53:15" maxDate="2019-11-05T14:14:45"/>
    </cacheField>
    <cacheField name="INITIAL_MESSAGE" numFmtId="0">
      <sharedItems longText="1"/>
    </cacheField>
    <cacheField name="product family" numFmtId="0">
      <sharedItems containsBlank="1" count="5">
        <s v="accounts"/>
        <s v="loans"/>
        <s v="payments"/>
        <s v="undefined"/>
        <m/>
      </sharedItems>
    </cacheField>
    <cacheField name="detailed product" numFmtId="0">
      <sharedItems containsBlank="1" count="3">
        <m/>
        <s v="undefined"/>
        <s v="cash"/>
      </sharedItems>
    </cacheField>
    <cacheField name="product attribute" numFmtId="0">
      <sharedItems containsBlank="1" count="7">
        <s v="interest"/>
        <m/>
        <s v="undefined"/>
        <s v="email address"/>
        <s v="withdrawal"/>
        <s v="phone number"/>
        <s v="address"/>
      </sharedItems>
    </cacheField>
    <cacheField name="channel" numFmtId="0">
      <sharedItems containsBlank="1" count="5">
        <m/>
        <s v="undefined"/>
        <s v="atm"/>
        <s v="sms"/>
        <s v="mobile"/>
      </sharedItems>
    </cacheField>
    <cacheField name="action" numFmtId="0">
      <sharedItems containsBlank="1" count="8">
        <m/>
        <s v="undefined"/>
        <s v="inform"/>
        <s v="activate"/>
        <s v="change +"/>
        <s v="change"/>
        <s v="check"/>
        <s v="replace"/>
      </sharedItems>
    </cacheField>
    <cacheField name="action attribute" numFmtId="0">
      <sharedItems containsBlank="1" count="10">
        <m/>
        <s v="undefined"/>
        <s v="fee"/>
        <s v="id means"/>
        <s v="not approved"/>
        <s v="safe"/>
        <s v="time"/>
        <s v="driving license"/>
        <s v="not retrieved"/>
        <s v="state_blocked"/>
      </sharedItems>
    </cacheField>
    <cacheField name="comment" numFmtId="0">
      <sharedItems containsBlank="1"/>
    </cacheField>
    <cacheField name="ambiguities" numFmtId="0">
      <sharedItems containsBlank="1"/>
    </cacheField>
    <cacheField name="intent" numFmtId="0">
      <sharedItems count="50">
        <s v="About an unspecified account"/>
        <s v="About an unspecified loan"/>
        <s v="About an unspecified payment"/>
        <s v="About something unknown"/>
        <s v="Client needs information about an unspecified account"/>
        <s v="Client needs information about an unspecified loan"/>
        <s v="Client needs information about an unspecified payment"/>
        <s v="Client needs information about his cash"/>
        <s v="Client needs information about something unknown"/>
        <s v="Client needs information about the fee for an unspecified payment"/>
        <s v="Client needs information about the id means for something unknown"/>
        <s v="Client needs information about the not approved for an unspecified account"/>
        <s v="Client needs information about the not approved for an unspecified payment"/>
        <s v="Client needs information about the safe for something unknown"/>
        <s v="Client needs information about the time for an unspecified account"/>
        <s v="Client needs information about the time for an unspecified payment"/>
        <s v="Client wants to activate an unspecified account"/>
        <s v="Client wants to change + something unknown"/>
        <s v="Client wants to change something unknown"/>
        <s v="Client wants to check an unspecified account"/>
        <s v="Client wants to check something unknown"/>
        <s v="Client wants to check the driving license for an unspecified account"/>
        <s v="Client wants to check the id means for something unknown"/>
        <s v="Client wants to check the not approved for an unspecified account"/>
        <s v="Client wants to check the not approved for something unknown"/>
        <s v="Client wants to check the not retrieved for an unspecified payment"/>
        <s v="Client wants to check the not retrieved for something unknown"/>
        <s v="Client wants to check the state_blocked for an unspecified payment"/>
        <s v="Client wants to check the time for an unspecified payment"/>
        <s v="Client wants to replace the driving license for something unknown"/>
        <s v="Client needs information about the time for  " u="1"/>
        <s v="Client wants to check the state_blocked for  " u="1"/>
        <s v="Client wants to check the not retrieved for  " u="1"/>
        <e v="#VALUE!" u="1"/>
        <s v="Client wants to check the time for  " u="1"/>
        <s v="Client needs information about the not approved for  " u="1"/>
        <s v="Client wants to check the not approved for  " u="1"/>
        <s v="Client needs information about the  for  " u="1"/>
        <s v="Client wants to change the  for  " u="1"/>
        <s v="Client needs information about the  for  cash" u="1"/>
        <s v="Client wants to  the  for  " u="1"/>
        <s v="Client wants to check the id means for  " u="1"/>
        <s v="Client needs information about the fee for  " u="1"/>
        <s v="Client wants to check the  for  " u="1"/>
        <s v="Client wants to activate the  for  " u="1"/>
        <s v="Client wants to change + the  for  " u="1"/>
        <s v="Client wants to check the driving license for  " u="1"/>
        <s v="Client needs information about the safe for  " u="1"/>
        <s v="Client needs information about the id means for  " u="1"/>
        <s v="Client wants to replace the driving license for  "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k Ebbers" refreshedDate="43804.918030092595" createdVersion="6" refreshedVersion="6" minRefreshableVersion="3" recordCount="237" xr:uid="{69DD78DC-6DBB-F14B-86DD-F004ADD9E42A}">
  <cacheSource type="worksheet">
    <worksheetSource ref="B1:C1048576" sheet="prod_attr"/>
  </cacheSource>
  <cacheFields count="2">
    <cacheField name="product attribute" numFmtId="0">
      <sharedItems containsBlank="1" count="236">
        <s v="abroad"/>
        <s v="abroad (out EU)"/>
        <s v="access"/>
        <s v="access code"/>
        <s v="account"/>
        <s v="account holder"/>
        <s v="account name"/>
        <s v="account number"/>
        <s v="account type"/>
        <s v="activation code"/>
        <s v="additional repayment"/>
        <s v="additional repayment (this year)"/>
        <s v="address"/>
        <s v="advise"/>
        <s v="agreement"/>
        <s v="amount"/>
        <s v="application state"/>
        <s v="australian dollars"/>
        <s v="authorization"/>
        <s v="automatic saving"/>
        <s v="balance"/>
        <s v="bank guarantee"/>
        <s v="begunstigde"/>
        <s v="bic"/>
        <s v="bkr registration"/>
        <s v="building depot"/>
        <s v="buy"/>
        <s v="buy off"/>
        <s v="buy off statement"/>
        <s v="calculation"/>
        <s v="cancellation"/>
        <s v="capital accumulation"/>
        <s v="certificate"/>
        <s v="change"/>
        <s v="changes"/>
        <s v="claim"/>
        <s v="code"/>
        <s v="collection message"/>
        <s v="confirmation"/>
        <s v="confirmation code"/>
        <s v="contact details"/>
        <s v="contactless payments (NFC)"/>
        <s v="contract"/>
        <s v="correspondence"/>
        <s v="cost"/>
        <s v="costs"/>
        <s v="costs (abroad)"/>
        <s v="coverage"/>
        <s v="coverage (abroad)"/>
        <s v="coverage (worldwide)"/>
        <s v="credit"/>
        <s v="damaged"/>
        <s v="debt"/>
        <s v="debt/market value"/>
        <s v="deferral"/>
        <s v="delivery"/>
        <s v="delivery address"/>
        <s v="deposit"/>
        <s v="deposit (costs)"/>
        <s v="deposit (large amount)"/>
        <s v="description"/>
        <s v="destination"/>
        <s v="direct debit"/>
        <s v="discount"/>
        <s v="dividend"/>
        <s v="double payment"/>
        <s v="duration"/>
        <s v="email address"/>
        <s v="end of term"/>
        <s v="enddate"/>
        <s v="envelopes"/>
        <s v="exchange"/>
        <s v="execution date"/>
        <s v="expansion"/>
        <s v="expiration"/>
        <s v="extra"/>
        <s v="extra account"/>
        <s v="extra card"/>
        <s v="extra deposit"/>
        <s v="extra mortage"/>
        <s v="extra repayment"/>
        <s v="fine"/>
        <s v="foreign money"/>
        <s v="form"/>
        <s v="found card"/>
        <s v="from_cc"/>
        <s v="ground lease"/>
        <s v="iban"/>
        <s v="identity information"/>
        <s v="inbox"/>
        <s v="increase"/>
        <s v="info"/>
        <s v="installment note"/>
        <s v="installment payment"/>
        <s v="instant payments"/>
        <s v="interest"/>
        <s v="interest (change)"/>
        <s v="interest (fixed rate period)"/>
        <s v="interest (middle out)"/>
        <s v="interest change"/>
        <s v="interest prolongation"/>
        <s v="interim credit"/>
        <s v="language settings"/>
        <s v="large amount"/>
        <s v="large denominations"/>
        <s v="legal representative"/>
        <s v="lender"/>
        <s v="liability"/>
        <s v="limit"/>
        <s v="limit (abroad - withdraw)"/>
        <s v="limit (abroad)"/>
        <s v="limit (daily - temporary)"/>
        <s v="limit (daily - withdraw)"/>
        <s v="limit (daily)"/>
        <s v="limit (temporary)"/>
        <s v="limit (withdraw)"/>
        <s v="linked account"/>
        <s v="linked_account"/>
        <s v="login codes"/>
        <s v="lost"/>
        <s v="lost and found"/>
        <s v="mail (for other person)"/>
        <s v="mail (not delivered)"/>
        <s v="management"/>
        <s v="market value"/>
        <s v="market value change"/>
        <s v="market/value ratio"/>
        <s v="name"/>
        <s v="new card"/>
        <s v="new phone"/>
        <s v="note"/>
        <s v="number"/>
        <s v="opening hours"/>
        <s v="order"/>
        <s v="origin"/>
        <s v="pay off"/>
        <s v="pay out"/>
        <s v="payment"/>
        <s v="payment (abroad)"/>
        <s v="payment arrears"/>
        <s v="payment duration"/>
        <s v="payment info"/>
        <s v="payment plan"/>
        <s v="payment reminder"/>
        <s v="payment request"/>
        <s v="payout"/>
        <s v="period"/>
        <s v="personal details"/>
        <s v="phone number"/>
        <s v="pincode"/>
        <s v="pledge"/>
        <s v="points"/>
        <s v="policy"/>
        <s v="possible fraud"/>
        <s v="premium"/>
        <s v="price"/>
        <s v="priority transfer"/>
        <s v="privacy"/>
        <s v="prolongation"/>
        <s v="promotion"/>
        <s v="purchase"/>
        <s v="quotation"/>
        <s v="refinance"/>
        <s v="refinance fine"/>
        <s v="refund"/>
        <s v="rejection"/>
        <s v="release"/>
        <s v="repairment"/>
        <s v="repayment"/>
        <s v="repayment confirmation"/>
        <s v="repayment note"/>
        <s v="repayment partial"/>
        <s v="repayment table"/>
        <s v="reservation"/>
        <s v="residual debt"/>
        <s v="retrieval"/>
        <s v="return"/>
        <s v="risk class"/>
        <s v="risk premium interest"/>
        <s v="salary information"/>
        <s v="sale"/>
        <s v="saving goal"/>
        <s v="scheduled tasks"/>
        <s v="second building"/>
        <s v="secure code"/>
        <s v="security"/>
        <s v="security camera footage"/>
        <s v="seizure"/>
        <s v="settlement"/>
        <s v="signature"/>
        <s v="specific item"/>
        <s v="specific transaction reporting"/>
        <s v="state_blocked"/>
        <s v="state_closed"/>
        <s v="state_refused"/>
        <s v="statement"/>
        <s v="statement (cancellation)"/>
        <s v="statement (current balance)"/>
        <s v="statement (financing)"/>
        <s v="statement (fiscally)"/>
        <s v="statement (purchase)"/>
        <s v="statement (quarterly)"/>
        <s v="statement (solvency)"/>
        <s v="statement (yearly)"/>
        <s v="statement folder"/>
        <s v="status"/>
        <s v="supplement"/>
        <s v="surplus value"/>
        <s v="swift code"/>
        <s v="tan codes"/>
        <s v="tax"/>
        <s v="to_cc"/>
        <s v="to_coins"/>
        <s v="to_currentacc"/>
        <s v="to_investacc"/>
        <s v="to_savingsacc"/>
        <s v="transfer"/>
        <s v="transfer booklet"/>
        <s v="translation"/>
        <s v="type"/>
        <s v="update"/>
        <s v="update form"/>
        <s v="user name password"/>
        <s v="verification code"/>
        <s v="voucher"/>
        <s v="waranty"/>
        <s v="withdrawal"/>
        <s v="withdrawal (abroad - costs)"/>
        <s v="withdrawal (abroad)"/>
        <s v="withdrawal (large amount)"/>
        <s v="withdrawal (without card)"/>
        <s v="withhold"/>
        <s v="withhold (abroad)"/>
        <s v="without_authorization"/>
        <s v="undefined"/>
        <m/>
      </sharedItems>
    </cacheField>
    <cacheField name="sub" numFmtId="0">
      <sharedItems containsBlank="1" count="33">
        <s v="location, settings"/>
        <s v="authorization, identification"/>
        <s v="profile"/>
        <s v="transaction"/>
        <s v="undefined"/>
        <s v="contract, validation"/>
        <s v="value"/>
        <s v="state"/>
        <s v="apply"/>
        <s v="investment"/>
        <s v="statement"/>
        <s v="communication"/>
        <s v="insurance"/>
        <s v="interest"/>
        <s v="limit"/>
        <m/>
        <s v="validity" u="1"/>
        <s v="location" u="1"/>
        <s v="payment" u="1"/>
        <s v="extra" u="1"/>
        <s v="settle" u="1"/>
        <s v="loan" u="1"/>
        <s v="authorization" u="1"/>
        <s v="increase" u="1"/>
        <s v="credit" u="1"/>
        <s v="note" u="1"/>
        <s v="undo" u="1"/>
        <s v="other" u="1"/>
        <s v="lost, found and damaged" u="1"/>
        <s v="numeric" u="1"/>
        <s v="review" u="1"/>
        <s v="withdrawal" u="1"/>
        <s v="corporat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nk Ebbers" refreshedDate="43809.684061805558" createdVersion="6" refreshedVersion="6" minRefreshableVersion="3" recordCount="151" xr:uid="{AA7E4F99-3C94-EA40-99A5-5FAE89E9BFB1}">
  <cacheSource type="worksheet">
    <worksheetSource ref="A1:H1048576" sheet="data_"/>
  </cacheSource>
  <cacheFields count="8">
    <cacheField name="index" numFmtId="0">
      <sharedItems containsString="0" containsBlank="1" containsNumber="1" containsInteger="1" minValue="116606" maxValue="200803"/>
    </cacheField>
    <cacheField name="timestamp" numFmtId="0">
      <sharedItems containsNonDate="0" containsDate="1" containsString="0" containsBlank="1" minDate="2019-10-02T06:53:15" maxDate="2019-11-05T14:14:45"/>
    </cacheField>
    <cacheField name="INITIAL_MESSAGE" numFmtId="0">
      <sharedItems containsBlank="1" longText="1"/>
    </cacheField>
    <cacheField name="topic" numFmtId="0">
      <sharedItems containsBlank="1"/>
    </cacheField>
    <cacheField name="what / issue / status" numFmtId="0">
      <sharedItems containsBlank="1" count="43">
        <s v="fails to submit"/>
        <s v="not received"/>
        <s v="wants to transfer via gcash"/>
        <s v="fails to create/activate"/>
        <s v="fails BPI check deposit"/>
        <s v="undefined"/>
        <s v="update new id without signature"/>
        <s v="awaits activation"/>
        <s v="fails to login"/>
        <s v="rejected check deposit"/>
        <s v="wants to check deposit"/>
        <s v="wants to deposit"/>
        <s v="speaks foreign language"/>
        <s v="wants to compute interest"/>
        <s v="wants to submit different id"/>
        <s v="wants to add phone number"/>
        <s v="wrong credentials"/>
        <s v="wants to know the fees"/>
        <s v="wants to do bank-bank deposit"/>
        <s v="has verification issues"/>
        <s v="id in maiden name account in married name"/>
        <s v="missing referral code"/>
        <s v="wants to do bank-bank transfer"/>
        <s v="missing sms verification"/>
        <s v="wants to know the minimum balance"/>
        <s v="mismatch names"/>
        <s v="wants to withdraw via ATM"/>
        <s v="rejected MC deposit"/>
        <s v="fails face identification"/>
        <s v="fails to transfer"/>
        <s v="process time"/>
        <s v="missing account number"/>
        <s v="update new id"/>
        <s v="wants to loan"/>
        <s v="mismatch account number"/>
        <s v="needs bank certificate"/>
        <s v="fails to open"/>
        <s v="wants to know the minimum deposit"/>
        <s v="wants to do check deposit"/>
        <m/>
        <s v="pending activation" u="1"/>
        <s v="need bank certificate" u="1"/>
        <s v="submit different id" u="1"/>
      </sharedItems>
    </cacheField>
    <cacheField name="why / cause of issue / reason contact" numFmtId="0">
      <sharedItems containsBlank="1"/>
    </cacheField>
    <cacheField name="how / resolution" numFmtId="0">
      <sharedItems containsBlank="1"/>
    </cacheField>
    <cacheField name="Intent2"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n v="170788"/>
    <d v="2019-10-31T16:58:22"/>
    <s v="Interest Rate"/>
    <x v="0"/>
    <x v="0"/>
    <x v="0"/>
    <x v="0"/>
    <x v="0"/>
    <x v="0"/>
    <m/>
    <m/>
    <x v="0"/>
  </r>
  <r>
    <n v="149655"/>
    <d v="2019-10-16T11:32:22"/>
    <s v="For loan"/>
    <x v="1"/>
    <x v="0"/>
    <x v="1"/>
    <x v="0"/>
    <x v="0"/>
    <x v="0"/>
    <m/>
    <m/>
    <x v="1"/>
  </r>
  <r>
    <n v="179525"/>
    <d v="2019-10-06T12:10:26"/>
    <s v="How long does it take to transfer money from ING to BDO?"/>
    <x v="2"/>
    <x v="0"/>
    <x v="1"/>
    <x v="0"/>
    <x v="0"/>
    <x v="0"/>
    <m/>
    <m/>
    <x v="2"/>
  </r>
  <r>
    <n v="155013"/>
    <d v="2019-10-17T10:48:46"/>
    <s v="Hi"/>
    <x v="3"/>
    <x v="1"/>
    <x v="2"/>
    <x v="1"/>
    <x v="1"/>
    <x v="1"/>
    <s v="welcome"/>
    <m/>
    <x v="3"/>
  </r>
  <r>
    <n v="129107"/>
    <d v="2019-10-03T11:21:35"/>
    <s v="Civil service exam result october 3 2019"/>
    <x v="3"/>
    <x v="1"/>
    <x v="2"/>
    <x v="1"/>
    <x v="1"/>
    <x v="1"/>
    <s v="other"/>
    <m/>
    <x v="3"/>
  </r>
  <r>
    <n v="188593"/>
    <d v="2019-10-15T16:07:52"/>
    <s v="Sss id lng po government id ko"/>
    <x v="3"/>
    <x v="1"/>
    <x v="2"/>
    <x v="1"/>
    <x v="1"/>
    <x v="1"/>
    <s v="ph lang"/>
    <m/>
    <x v="3"/>
  </r>
  <r>
    <n v="176892"/>
    <d v="2019-10-08T10:59:35"/>
    <s v="Twst"/>
    <x v="3"/>
    <x v="1"/>
    <x v="2"/>
    <x v="1"/>
    <x v="1"/>
    <x v="1"/>
    <s v="garbage"/>
    <m/>
    <x v="3"/>
  </r>
  <r>
    <n v="157415"/>
    <d v="2019-10-10T18:41:31"/>
    <s v="Hi there!"/>
    <x v="3"/>
    <x v="1"/>
    <x v="2"/>
    <x v="1"/>
    <x v="1"/>
    <x v="1"/>
    <s v="welcome"/>
    <m/>
    <x v="3"/>
  </r>
  <r>
    <n v="160939"/>
    <d v="2019-10-26T04:51:28"/>
    <s v="Hi Alistair. Chatted with Raj earlier but the session ended. Raj already assisted me earlier. Thank you."/>
    <x v="3"/>
    <x v="1"/>
    <x v="2"/>
    <x v="1"/>
    <x v="1"/>
    <x v="1"/>
    <s v="previous conversation"/>
    <m/>
    <x v="3"/>
  </r>
  <r>
    <n v="122658"/>
    <d v="2019-11-02T16:17:41"/>
    <s v="Hi"/>
    <x v="3"/>
    <x v="1"/>
    <x v="2"/>
    <x v="1"/>
    <x v="1"/>
    <x v="1"/>
    <s v="welcome"/>
    <m/>
    <x v="3"/>
  </r>
  <r>
    <n v="155876"/>
    <d v="2019-10-10T03:54:55"/>
    <s v="Hello"/>
    <x v="3"/>
    <x v="1"/>
    <x v="2"/>
    <x v="1"/>
    <x v="1"/>
    <x v="1"/>
    <s v="welcome"/>
    <m/>
    <x v="3"/>
  </r>
  <r>
    <n v="194353"/>
    <d v="2019-10-14T00:42:07"/>
    <s v="Hello"/>
    <x v="3"/>
    <x v="1"/>
    <x v="2"/>
    <x v="1"/>
    <x v="1"/>
    <x v="1"/>
    <s v="welcome"/>
    <m/>
    <x v="3"/>
  </r>
  <r>
    <n v="158086"/>
    <d v="2019-10-10T21:50:15"/>
    <s v="Hello!"/>
    <x v="3"/>
    <x v="1"/>
    <x v="2"/>
    <x v="1"/>
    <x v="1"/>
    <x v="1"/>
    <s v="welcome"/>
    <m/>
    <x v="3"/>
  </r>
  <r>
    <n v="119201"/>
    <d v="2019-11-04T04:04:44"/>
    <s v="Hi"/>
    <x v="3"/>
    <x v="1"/>
    <x v="2"/>
    <x v="1"/>
    <x v="1"/>
    <x v="1"/>
    <s v="welcome"/>
    <m/>
    <x v="3"/>
  </r>
  <r>
    <n v="131560"/>
    <d v="2019-10-04T07:37:24"/>
    <s v="I'm not id"/>
    <x v="3"/>
    <x v="1"/>
    <x v="2"/>
    <x v="1"/>
    <x v="1"/>
    <x v="1"/>
    <s v="lack info"/>
    <m/>
    <x v="3"/>
  </r>
  <r>
    <n v="161833"/>
    <d v="2019-10-21T05:45:42"/>
    <s v="Hi"/>
    <x v="3"/>
    <x v="1"/>
    <x v="2"/>
    <x v="1"/>
    <x v="1"/>
    <x v="1"/>
    <s v="welcome"/>
    <m/>
    <x v="3"/>
  </r>
  <r>
    <n v="193540"/>
    <d v="2019-10-14T10:45:36"/>
    <s v="Hi"/>
    <x v="3"/>
    <x v="1"/>
    <x v="2"/>
    <x v="1"/>
    <x v="1"/>
    <x v="1"/>
    <s v="welcome"/>
    <m/>
    <x v="3"/>
  </r>
  <r>
    <n v="155088"/>
    <d v="2019-10-10T05:25:56"/>
    <s v="Ang kamag anak kung c jessica aquino ramos (late) ay may naiwan na acc. Gusto ko po sana buksan itu para saakin dahil patay na po siya"/>
    <x v="3"/>
    <x v="1"/>
    <x v="2"/>
    <x v="1"/>
    <x v="1"/>
    <x v="1"/>
    <s v="ph lang"/>
    <m/>
    <x v="3"/>
  </r>
  <r>
    <n v="153172"/>
    <d v="2019-10-17T15:36:26"/>
    <s v="Hey arc"/>
    <x v="3"/>
    <x v="1"/>
    <x v="2"/>
    <x v="1"/>
    <x v="1"/>
    <x v="1"/>
    <s v="welcome"/>
    <m/>
    <x v="3"/>
  </r>
  <r>
    <n v="191027"/>
    <d v="2019-10-13T21:39:46"/>
    <s v="Hello there"/>
    <x v="3"/>
    <x v="1"/>
    <x v="2"/>
    <x v="1"/>
    <x v="1"/>
    <x v="1"/>
    <s v="welcome"/>
    <m/>
    <x v="3"/>
  </r>
  <r>
    <n v="138602"/>
    <d v="2019-10-18T14:16:47"/>
    <s v="gusto ko lang po magtanong kung nahuhulugan po ba yung sss ko salamat po"/>
    <x v="3"/>
    <x v="1"/>
    <x v="2"/>
    <x v="1"/>
    <x v="1"/>
    <x v="1"/>
    <s v="ph lang"/>
    <m/>
    <x v="3"/>
  </r>
  <r>
    <n v="158814"/>
    <d v="2019-10-19T21:37:15"/>
    <s v="Test. Good morning!"/>
    <x v="3"/>
    <x v="1"/>
    <x v="2"/>
    <x v="1"/>
    <x v="1"/>
    <x v="1"/>
    <s v="welcome"/>
    <m/>
    <x v="3"/>
  </r>
  <r>
    <n v="181340"/>
    <d v="2019-10-24T04:35:37"/>
    <s v="Naka I lang ulit na magpasa puro failed"/>
    <x v="3"/>
    <x v="1"/>
    <x v="2"/>
    <x v="1"/>
    <x v="1"/>
    <x v="1"/>
    <s v="ph lang"/>
    <m/>
    <x v="3"/>
  </r>
  <r>
    <n v="156274"/>
    <d v="2019-10-10T05:31:54"/>
    <s v="Hello"/>
    <x v="3"/>
    <x v="1"/>
    <x v="2"/>
    <x v="1"/>
    <x v="1"/>
    <x v="1"/>
    <s v="welcome"/>
    <m/>
    <x v="3"/>
  </r>
  <r>
    <n v="151131"/>
    <d v="2019-10-28T10:02:12"/>
    <s v="Hello"/>
    <x v="3"/>
    <x v="1"/>
    <x v="2"/>
    <x v="1"/>
    <x v="1"/>
    <x v="1"/>
    <s v="welcome"/>
    <m/>
    <x v="3"/>
  </r>
  <r>
    <n v="170035"/>
    <d v="2019-10-31T06:39:05"/>
    <s v="Ilang minutes bago ma access yung mukha"/>
    <x v="3"/>
    <x v="1"/>
    <x v="2"/>
    <x v="1"/>
    <x v="1"/>
    <x v="1"/>
    <s v="ph lang"/>
    <m/>
    <x v="3"/>
  </r>
  <r>
    <n v="142177"/>
    <d v="2019-10-27T09:38:06"/>
    <s v="Hello bigyan niyo po ako ng 100,000 na diamond sa ml"/>
    <x v="3"/>
    <x v="1"/>
    <x v="2"/>
    <x v="1"/>
    <x v="1"/>
    <x v="1"/>
    <s v="ph lang"/>
    <m/>
    <x v="3"/>
  </r>
  <r>
    <n v="167786"/>
    <d v="2019-10-09T12:50:52"/>
    <s v="Hi"/>
    <x v="3"/>
    <x v="1"/>
    <x v="2"/>
    <x v="1"/>
    <x v="1"/>
    <x v="1"/>
    <s v="welcome"/>
    <m/>
    <x v="3"/>
  </r>
  <r>
    <n v="168568"/>
    <d v="2019-10-08T23:23:37"/>
    <s v="I got disconnected with Kara"/>
    <x v="3"/>
    <x v="1"/>
    <x v="2"/>
    <x v="1"/>
    <x v="1"/>
    <x v="1"/>
    <s v="switch agent"/>
    <m/>
    <x v="3"/>
  </r>
  <r>
    <n v="187610"/>
    <d v="2019-10-15T07:09:29"/>
    <s v="Hello"/>
    <x v="3"/>
    <x v="1"/>
    <x v="2"/>
    <x v="1"/>
    <x v="1"/>
    <x v="1"/>
    <s v="welcome"/>
    <m/>
    <x v="3"/>
  </r>
  <r>
    <n v="169477"/>
    <d v="2019-10-31T04:45:27"/>
    <s v="Hello"/>
    <x v="3"/>
    <x v="1"/>
    <x v="2"/>
    <x v="1"/>
    <x v="1"/>
    <x v="1"/>
    <s v="welcome"/>
    <m/>
    <x v="3"/>
  </r>
  <r>
    <n v="152753"/>
    <d v="2019-10-17T06:19:50"/>
    <s v="Hello"/>
    <x v="3"/>
    <x v="1"/>
    <x v="2"/>
    <x v="1"/>
    <x v="1"/>
    <x v="1"/>
    <s v="welcome"/>
    <m/>
    <x v="3"/>
  </r>
  <r>
    <n v="137185"/>
    <d v="2019-10-20T18:35:00"/>
    <s v="I wast disconnected"/>
    <x v="3"/>
    <x v="1"/>
    <x v="2"/>
    <x v="1"/>
    <x v="1"/>
    <x v="1"/>
    <s v="switch agent"/>
    <m/>
    <x v="3"/>
  </r>
  <r>
    <n v="126612"/>
    <d v="2019-10-03T19:52:45"/>
    <s v="n/a"/>
    <x v="3"/>
    <x v="1"/>
    <x v="2"/>
    <x v="1"/>
    <x v="1"/>
    <x v="1"/>
    <m/>
    <m/>
    <x v="3"/>
  </r>
  <r>
    <n v="118299"/>
    <d v="2019-11-04T06:34:04"/>
    <s v="Hi"/>
    <x v="3"/>
    <x v="1"/>
    <x v="2"/>
    <x v="1"/>
    <x v="1"/>
    <x v="1"/>
    <s v="welcome"/>
    <m/>
    <x v="3"/>
  </r>
  <r>
    <n v="118670"/>
    <d v="2019-11-04T12:38:04"/>
    <s v="Hello"/>
    <x v="3"/>
    <x v="1"/>
    <x v="2"/>
    <x v="1"/>
    <x v="1"/>
    <x v="1"/>
    <s v="welcome"/>
    <m/>
    <x v="3"/>
  </r>
  <r>
    <n v="153994"/>
    <d v="2019-10-17T17:33:47"/>
    <s v="n/a"/>
    <x v="3"/>
    <x v="1"/>
    <x v="2"/>
    <x v="1"/>
    <x v="1"/>
    <x v="1"/>
    <m/>
    <m/>
    <x v="3"/>
  </r>
  <r>
    <n v="117032"/>
    <d v="2019-11-03T18:21:12"/>
    <s v="Hi"/>
    <x v="3"/>
    <x v="1"/>
    <x v="2"/>
    <x v="1"/>
    <x v="1"/>
    <x v="1"/>
    <s v="welcome"/>
    <m/>
    <x v="3"/>
  </r>
  <r>
    <n v="123318"/>
    <d v="2019-11-02T04:33:43"/>
    <s v="Pwede po bang malaman kung paano ang instraction or kung makapasok d2..."/>
    <x v="3"/>
    <x v="1"/>
    <x v="2"/>
    <x v="1"/>
    <x v="1"/>
    <x v="1"/>
    <s v="ph lang"/>
    <m/>
    <x v="3"/>
  </r>
  <r>
    <n v="151872"/>
    <d v="2019-10-28T13:19:30"/>
    <s v="I cant priloceed"/>
    <x v="3"/>
    <x v="1"/>
    <x v="2"/>
    <x v="1"/>
    <x v="1"/>
    <x v="1"/>
    <m/>
    <m/>
    <x v="3"/>
  </r>
  <r>
    <n v="182928"/>
    <d v="2019-10-24T09:53:18"/>
    <s v="Pano naging mali address ko. Activated na ito kanina pag registered ko."/>
    <x v="3"/>
    <x v="1"/>
    <x v="2"/>
    <x v="1"/>
    <x v="1"/>
    <x v="1"/>
    <s v="ph lang"/>
    <m/>
    <x v="3"/>
  </r>
  <r>
    <n v="157245"/>
    <d v="2019-10-10T04:22:03"/>
    <s v="Yes"/>
    <x v="3"/>
    <x v="1"/>
    <x v="2"/>
    <x v="1"/>
    <x v="1"/>
    <x v="1"/>
    <s v="yes"/>
    <m/>
    <x v="3"/>
  </r>
  <r>
    <n v="194982"/>
    <d v="2019-10-14T13:58:31"/>
    <s v="Yes"/>
    <x v="3"/>
    <x v="1"/>
    <x v="2"/>
    <x v="1"/>
    <x v="1"/>
    <x v="1"/>
    <s v="yes"/>
    <m/>
    <x v="3"/>
  </r>
  <r>
    <n v="139152"/>
    <d v="2019-10-18T03:52:56"/>
    <s v="Hi"/>
    <x v="3"/>
    <x v="1"/>
    <x v="2"/>
    <x v="1"/>
    <x v="1"/>
    <x v="1"/>
    <s v="welcome"/>
    <m/>
    <x v="3"/>
  </r>
  <r>
    <n v="169467"/>
    <d v="2019-10-31T05:34:40"/>
    <s v="Hi"/>
    <x v="3"/>
    <x v="1"/>
    <x v="2"/>
    <x v="1"/>
    <x v="1"/>
    <x v="1"/>
    <s v="welcome"/>
    <m/>
    <x v="3"/>
  </r>
  <r>
    <n v="200138"/>
    <d v="2019-10-25T08:37:30"/>
    <s v="Please check the newly uploaded photo of billing statement"/>
    <x v="3"/>
    <x v="0"/>
    <x v="1"/>
    <x v="0"/>
    <x v="0"/>
    <x v="0"/>
    <m/>
    <m/>
    <x v="3"/>
  </r>
  <r>
    <n v="133919"/>
    <d v="2019-10-02T06:53:15"/>
    <s v="n/a"/>
    <x v="3"/>
    <x v="0"/>
    <x v="1"/>
    <x v="0"/>
    <x v="0"/>
    <x v="0"/>
    <s v="nothing"/>
    <m/>
    <x v="3"/>
  </r>
  <r>
    <n v="182134"/>
    <d v="2019-10-24T07:44:18"/>
    <s v="Is a maintaining balance required?"/>
    <x v="3"/>
    <x v="0"/>
    <x v="1"/>
    <x v="0"/>
    <x v="0"/>
    <x v="0"/>
    <s v="maintaining balance"/>
    <m/>
    <x v="3"/>
  </r>
  <r>
    <n v="142137"/>
    <d v="2019-10-27T07:22:58"/>
    <s v="Hi, I opened the account using my married name but my passport is till in my maiden name. Where should I upload my marriage certificate as proof?"/>
    <x v="3"/>
    <x v="0"/>
    <x v="1"/>
    <x v="0"/>
    <x v="0"/>
    <x v="0"/>
    <m/>
    <s v="XXX"/>
    <x v="3"/>
  </r>
  <r>
    <n v="137604"/>
    <d v="2019-10-20T15:59:51"/>
    <s v="Ot won't recognize my face and taking so long"/>
    <x v="3"/>
    <x v="0"/>
    <x v="1"/>
    <x v="0"/>
    <x v="0"/>
    <x v="0"/>
    <m/>
    <s v="face recognition"/>
    <x v="3"/>
  </r>
  <r>
    <n v="153167"/>
    <d v="2019-10-17T05:59:39"/>
    <s v="Your virifecation code not working"/>
    <x v="3"/>
    <x v="0"/>
    <x v="1"/>
    <x v="0"/>
    <x v="0"/>
    <x v="0"/>
    <m/>
    <s v="verification"/>
    <x v="3"/>
  </r>
  <r>
    <n v="159251"/>
    <d v="2019-10-26T01:03:57"/>
    <s v="Where is my referral code here"/>
    <x v="3"/>
    <x v="0"/>
    <x v="1"/>
    <x v="0"/>
    <x v="0"/>
    <x v="0"/>
    <s v="refereal code"/>
    <m/>
    <x v="3"/>
  </r>
  <r>
    <n v="146512"/>
    <d v="2019-10-29T06:05:55"/>
    <s v="Hello ING I have a problem first I was able to opened an account online under my name with wrong spelling Gallego Cahili Gallego and also scan my IDs I start deposite to my account 1000 pesos"/>
    <x v="3"/>
    <x v="0"/>
    <x v="1"/>
    <x v="0"/>
    <x v="0"/>
    <x v="0"/>
    <m/>
    <s v="no enough info"/>
    <x v="3"/>
  </r>
  <r>
    <n v="164028"/>
    <d v="2019-10-06T23:06:40"/>
    <s v="Hi, can I request for a bank certificate? If yes, how?"/>
    <x v="3"/>
    <x v="0"/>
    <x v="1"/>
    <x v="0"/>
    <x v="0"/>
    <x v="0"/>
    <s v="bank certificate"/>
    <m/>
    <x v="3"/>
  </r>
  <r>
    <n v="200043"/>
    <d v="2019-10-25T08:27:31"/>
    <s v="n/a"/>
    <x v="3"/>
    <x v="0"/>
    <x v="1"/>
    <x v="0"/>
    <x v="0"/>
    <x v="0"/>
    <m/>
    <m/>
    <x v="3"/>
  </r>
  <r>
    <n v="193969"/>
    <d v="2019-10-14T05:52:03"/>
    <s v="What do I do with the physical Check after I ddeposit?"/>
    <x v="3"/>
    <x v="0"/>
    <x v="1"/>
    <x v="0"/>
    <x v="0"/>
    <x v="0"/>
    <s v="check"/>
    <m/>
    <x v="3"/>
  </r>
  <r>
    <n v="131214"/>
    <d v="2019-10-04T07:27:49"/>
    <s v="how much is the minimum deposit to open an account?"/>
    <x v="3"/>
    <x v="0"/>
    <x v="1"/>
    <x v="0"/>
    <x v="0"/>
    <x v="0"/>
    <s v="minimum deposit"/>
    <m/>
    <x v="3"/>
  </r>
  <r>
    <n v="131133"/>
    <d v="2019-10-04T18:06:25"/>
    <s v="My email?"/>
    <x v="3"/>
    <x v="0"/>
    <x v="3"/>
    <x v="0"/>
    <x v="0"/>
    <x v="0"/>
    <m/>
    <m/>
    <x v="3"/>
  </r>
  <r>
    <n v="153296"/>
    <d v="2019-10-17T13:33:59"/>
    <s v="hi, why don't i have an acct number?"/>
    <x v="4"/>
    <x v="0"/>
    <x v="1"/>
    <x v="0"/>
    <x v="0"/>
    <x v="0"/>
    <m/>
    <m/>
    <x v="3"/>
  </r>
  <r>
    <n v="119769"/>
    <d v="2019-11-05T05:19:07"/>
    <s v="I deposited a BPI check earlier but I indicated the wrong deposit date at the back of the check. How should I correct this?"/>
    <x v="4"/>
    <x v="0"/>
    <x v="1"/>
    <x v="0"/>
    <x v="0"/>
    <x v="0"/>
    <m/>
    <m/>
    <x v="3"/>
  </r>
  <r>
    <n v="176342"/>
    <d v="2019-10-07T23:05:08"/>
    <s v="What if I don't have a document or passport? What should I do?"/>
    <x v="0"/>
    <x v="0"/>
    <x v="1"/>
    <x v="0"/>
    <x v="2"/>
    <x v="0"/>
    <m/>
    <m/>
    <x v="4"/>
  </r>
  <r>
    <n v="169689"/>
    <d v="2019-10-31T15:44:01"/>
    <s v="Good day, how to compute for monthly monthly interest?"/>
    <x v="0"/>
    <x v="0"/>
    <x v="0"/>
    <x v="0"/>
    <x v="2"/>
    <x v="0"/>
    <m/>
    <s v="XXX"/>
    <x v="4"/>
  </r>
  <r>
    <n v="190206"/>
    <d v="2019-10-12T08:09:40"/>
    <s v="how to loan?"/>
    <x v="1"/>
    <x v="0"/>
    <x v="1"/>
    <x v="0"/>
    <x v="2"/>
    <x v="0"/>
    <m/>
    <m/>
    <x v="5"/>
  </r>
  <r>
    <n v="123422"/>
    <d v="2019-11-02T08:04:41"/>
    <s v="how can i deposit?"/>
    <x v="2"/>
    <x v="0"/>
    <x v="1"/>
    <x v="0"/>
    <x v="2"/>
    <x v="0"/>
    <m/>
    <m/>
    <x v="6"/>
  </r>
  <r>
    <n v="199735"/>
    <d v="2019-10-25T10:23:44"/>
    <s v="How do I transfer to my account via online banking of a different bank"/>
    <x v="2"/>
    <x v="0"/>
    <x v="1"/>
    <x v="0"/>
    <x v="2"/>
    <x v="0"/>
    <m/>
    <m/>
    <x v="6"/>
  </r>
  <r>
    <n v="183335"/>
    <d v="2019-10-23T22:15:31"/>
    <s v="how to take bank to bank deposit?"/>
    <x v="2"/>
    <x v="0"/>
    <x v="1"/>
    <x v="0"/>
    <x v="2"/>
    <x v="0"/>
    <m/>
    <m/>
    <x v="6"/>
  </r>
  <r>
    <n v="150774"/>
    <d v="2019-10-28T01:34:48"/>
    <s v="How will I do the bank-to-bank deposit??"/>
    <x v="2"/>
    <x v="0"/>
    <x v="1"/>
    <x v="0"/>
    <x v="2"/>
    <x v="0"/>
    <m/>
    <m/>
    <x v="6"/>
  </r>
  <r>
    <n v="198228"/>
    <d v="2019-10-22T11:50:33"/>
    <s v="Say if my name is Ma. Cristina and someone issues me a cheque that says Ma Cristina. Will it be a problem?"/>
    <x v="2"/>
    <x v="0"/>
    <x v="1"/>
    <x v="0"/>
    <x v="2"/>
    <x v="0"/>
    <s v="name"/>
    <m/>
    <x v="6"/>
  </r>
  <r>
    <n v="121025"/>
    <d v="2019-11-05T07:01:45"/>
    <s v="Can i transfer via gcash?"/>
    <x v="2"/>
    <x v="0"/>
    <x v="1"/>
    <x v="0"/>
    <x v="2"/>
    <x v="0"/>
    <m/>
    <m/>
    <x v="6"/>
  </r>
  <r>
    <n v="168278"/>
    <d v="2019-10-09T10:55:24"/>
    <s v="Is there another way to put in money other than check?"/>
    <x v="2"/>
    <x v="0"/>
    <x v="1"/>
    <x v="0"/>
    <x v="2"/>
    <x v="0"/>
    <m/>
    <m/>
    <x v="6"/>
  </r>
  <r>
    <n v="157205"/>
    <d v="2019-10-10T05:41:46"/>
    <s v="I want to transfer from metrobank to ing through mobile, but the metrobank app is asking for a 13 digit account number and i only have 12 digits"/>
    <x v="2"/>
    <x v="0"/>
    <x v="1"/>
    <x v="0"/>
    <x v="2"/>
    <x v="0"/>
    <m/>
    <s v="XXX"/>
    <x v="6"/>
  </r>
  <r>
    <n v="127138"/>
    <d v="2019-10-03T00:10:54"/>
    <s v="For check deposit, can i deposit a check to my account with payee name 'cash'?"/>
    <x v="2"/>
    <x v="2"/>
    <x v="1"/>
    <x v="0"/>
    <x v="2"/>
    <x v="0"/>
    <m/>
    <m/>
    <x v="7"/>
  </r>
  <r>
    <n v="124947"/>
    <d v="2019-11-01T06:04:16"/>
    <s v="Hi, I forgot my login password! What should I do?"/>
    <x v="3"/>
    <x v="0"/>
    <x v="1"/>
    <x v="0"/>
    <x v="2"/>
    <x v="0"/>
    <m/>
    <s v="inform how to change password // request new password"/>
    <x v="8"/>
  </r>
  <r>
    <n v="197936"/>
    <d v="2019-10-22T00:17:12"/>
    <s v="Hi! How do you withdraw money via ATM?"/>
    <x v="3"/>
    <x v="0"/>
    <x v="4"/>
    <x v="2"/>
    <x v="2"/>
    <x v="0"/>
    <m/>
    <m/>
    <x v="8"/>
  </r>
  <r>
    <n v="117474"/>
    <d v="2019-11-04T05:46:57"/>
    <s v="Hi how will i retrieve my pincode?thanks"/>
    <x v="3"/>
    <x v="0"/>
    <x v="1"/>
    <x v="0"/>
    <x v="2"/>
    <x v="0"/>
    <m/>
    <s v="inform how to change password // request new password"/>
    <x v="8"/>
  </r>
  <r>
    <n v="136379"/>
    <d v="2019-10-20T16:53:05"/>
    <s v="I don't know my pass coad"/>
    <x v="3"/>
    <x v="0"/>
    <x v="1"/>
    <x v="0"/>
    <x v="2"/>
    <x v="0"/>
    <m/>
    <s v="inform how to change password // request new password"/>
    <x v="8"/>
  </r>
  <r>
    <n v="148677"/>
    <d v="2019-10-16T07:24:07"/>
    <s v="I don't remember my passcode"/>
    <x v="3"/>
    <x v="0"/>
    <x v="1"/>
    <x v="0"/>
    <x v="2"/>
    <x v="0"/>
    <m/>
    <s v="inform how to change password // request new password"/>
    <x v="8"/>
  </r>
  <r>
    <n v="125977"/>
    <d v="2019-11-01T13:59:38"/>
    <s v="Hello! I forgot my PIN :( how do I retrieve or change it?"/>
    <x v="3"/>
    <x v="0"/>
    <x v="1"/>
    <x v="0"/>
    <x v="2"/>
    <x v="0"/>
    <m/>
    <s v="inform how to change password // request new password"/>
    <x v="8"/>
  </r>
  <r>
    <n v="148755"/>
    <d v="2019-10-16T21:35:59"/>
    <s v="How to make it password??"/>
    <x v="3"/>
    <x v="0"/>
    <x v="1"/>
    <x v="0"/>
    <x v="2"/>
    <x v="0"/>
    <m/>
    <s v="inform how to change password // request new password"/>
    <x v="8"/>
  </r>
  <r>
    <n v="130506"/>
    <d v="2019-10-04T10:25:55"/>
    <s v="I forgot my pin can you help me pls."/>
    <x v="3"/>
    <x v="0"/>
    <x v="1"/>
    <x v="0"/>
    <x v="2"/>
    <x v="0"/>
    <m/>
    <s v="inform how to change password // request new password"/>
    <x v="8"/>
  </r>
  <r>
    <n v="149974"/>
    <d v="2019-10-28T16:14:35"/>
    <s v="Hi. May I know how much is the fee for each withdrawal or fund transfer?"/>
    <x v="2"/>
    <x v="0"/>
    <x v="1"/>
    <x v="0"/>
    <x v="2"/>
    <x v="2"/>
    <m/>
    <m/>
    <x v="9"/>
  </r>
  <r>
    <n v="170491"/>
    <d v="2019-10-31T04:18:12"/>
    <s v="I don't have umud Id but I don have the old sss id?"/>
    <x v="3"/>
    <x v="0"/>
    <x v="1"/>
    <x v="0"/>
    <x v="2"/>
    <x v="3"/>
    <m/>
    <m/>
    <x v="10"/>
  </r>
  <r>
    <n v="183471"/>
    <d v="2019-10-24T16:44:11"/>
    <s v="hi are philhealth id are ok ?"/>
    <x v="3"/>
    <x v="0"/>
    <x v="1"/>
    <x v="0"/>
    <x v="2"/>
    <x v="3"/>
    <m/>
    <m/>
    <x v="10"/>
  </r>
  <r>
    <n v="159916"/>
    <d v="2019-10-26T06:18:37"/>
    <s v="How if i dont have id..my id is only voters id"/>
    <x v="3"/>
    <x v="0"/>
    <x v="1"/>
    <x v="0"/>
    <x v="2"/>
    <x v="3"/>
    <m/>
    <m/>
    <x v="10"/>
  </r>
  <r>
    <n v="186661"/>
    <d v="2019-10-15T03:51:05"/>
    <s v="Can i use another id for verification?"/>
    <x v="3"/>
    <x v="0"/>
    <x v="1"/>
    <x v="0"/>
    <x v="2"/>
    <x v="3"/>
    <m/>
    <m/>
    <x v="10"/>
  </r>
  <r>
    <n v="119672"/>
    <d v="2019-11-04T08:32:47"/>
    <s v="Hello. I am being requested to present an ID bearing my signature. What I currently have is a new passport which does not really have a signature since it is digital. What to do? I have an old passport but it is under my single name."/>
    <x v="3"/>
    <x v="0"/>
    <x v="1"/>
    <x v="0"/>
    <x v="2"/>
    <x v="3"/>
    <m/>
    <m/>
    <x v="10"/>
  </r>
  <r>
    <n v="151379"/>
    <d v="2019-10-28T00:56:33"/>
    <s v="Hi! Can I submit a different Government ID? Like a PRC ID? Thank you."/>
    <x v="3"/>
    <x v="0"/>
    <x v="1"/>
    <x v="0"/>
    <x v="2"/>
    <x v="3"/>
    <m/>
    <m/>
    <x v="10"/>
  </r>
  <r>
    <n v="200147"/>
    <d v="2019-10-25T15:26:55"/>
    <s v="I dont have identification cards"/>
    <x v="3"/>
    <x v="0"/>
    <x v="1"/>
    <x v="0"/>
    <x v="2"/>
    <x v="3"/>
    <m/>
    <m/>
    <x v="10"/>
  </r>
  <r>
    <n v="141591"/>
    <d v="2019-10-26T22:52:12"/>
    <s v="i only have postal id"/>
    <x v="3"/>
    <x v="0"/>
    <x v="1"/>
    <x v="0"/>
    <x v="2"/>
    <x v="3"/>
    <m/>
    <m/>
    <x v="10"/>
  </r>
  <r>
    <n v="168793"/>
    <d v="2019-10-09T16:22:58"/>
    <s v="What if my Id is not listed as one of the ids you are requesting?"/>
    <x v="3"/>
    <x v="0"/>
    <x v="1"/>
    <x v="0"/>
    <x v="2"/>
    <x v="3"/>
    <m/>
    <m/>
    <x v="10"/>
  </r>
  <r>
    <n v="148316"/>
    <d v="2019-10-16T03:35:13"/>
    <s v="Hi there, _x000a_how is my application? Thanks"/>
    <x v="0"/>
    <x v="0"/>
    <x v="1"/>
    <x v="0"/>
    <x v="2"/>
    <x v="4"/>
    <m/>
    <m/>
    <x v="11"/>
  </r>
  <r>
    <n v="140686"/>
    <d v="2019-10-27T05:57:50"/>
    <s v="Hi I just want to get an update regarding my application"/>
    <x v="0"/>
    <x v="0"/>
    <x v="1"/>
    <x v="0"/>
    <x v="2"/>
    <x v="4"/>
    <m/>
    <m/>
    <x v="11"/>
  </r>
  <r>
    <n v="118781"/>
    <d v="2019-11-04T03:27:10"/>
    <s v="You had an email telling that you have rejected my check deposit. Can I deposit it again?"/>
    <x v="2"/>
    <x v="0"/>
    <x v="1"/>
    <x v="0"/>
    <x v="2"/>
    <x v="4"/>
    <m/>
    <m/>
    <x v="12"/>
  </r>
  <r>
    <n v="140553"/>
    <d v="2019-10-27T08:40:19"/>
    <s v="Pls. Can i guestion only! How much my money save to your bank? Coming to forex."/>
    <x v="3"/>
    <x v="0"/>
    <x v="1"/>
    <x v="0"/>
    <x v="2"/>
    <x v="5"/>
    <m/>
    <m/>
    <x v="13"/>
  </r>
  <r>
    <n v="171470"/>
    <d v="2019-10-31T20:50:54"/>
    <s v="How long it’s gonna take for my account to be verified?"/>
    <x v="0"/>
    <x v="0"/>
    <x v="1"/>
    <x v="0"/>
    <x v="2"/>
    <x v="6"/>
    <m/>
    <m/>
    <x v="14"/>
  </r>
  <r>
    <n v="122679"/>
    <d v="2019-11-02T09:19:12"/>
    <s v="Hi. When will my account be fully activated?"/>
    <x v="0"/>
    <x v="0"/>
    <x v="1"/>
    <x v="0"/>
    <x v="2"/>
    <x v="6"/>
    <m/>
    <m/>
    <x v="14"/>
  </r>
  <r>
    <n v="135510"/>
    <d v="2019-10-02T20:59:42"/>
    <s v="How long is the processing when i perform cheque deposit on my account?"/>
    <x v="2"/>
    <x v="0"/>
    <x v="1"/>
    <x v="0"/>
    <x v="2"/>
    <x v="6"/>
    <m/>
    <s v="from/to ing distinction for pyament?"/>
    <x v="15"/>
  </r>
  <r>
    <n v="138102"/>
    <d v="2019-10-18T18:22:43"/>
    <s v="How long it takes to transfer fund in BDO account bank?"/>
    <x v="2"/>
    <x v="0"/>
    <x v="1"/>
    <x v="0"/>
    <x v="2"/>
    <x v="6"/>
    <m/>
    <m/>
    <x v="15"/>
  </r>
  <r>
    <n v="156459"/>
    <d v="2019-10-10T08:35:30"/>
    <s v="How many hours that my ING account  be Credited From Coins.ph transfered?"/>
    <x v="2"/>
    <x v="0"/>
    <x v="1"/>
    <x v="0"/>
    <x v="2"/>
    <x v="6"/>
    <m/>
    <m/>
    <x v="15"/>
  </r>
  <r>
    <n v="158767"/>
    <d v="2019-10-19T13:14:59"/>
    <s v="Hi, I want to open an account using my married name but my passport and driver’s license are still in my maiden name. I tried my driver’s license but verification failed. The only ID that I have in my married name is my work ID."/>
    <x v="0"/>
    <x v="0"/>
    <x v="1"/>
    <x v="0"/>
    <x v="3"/>
    <x v="0"/>
    <m/>
    <s v="no match"/>
    <x v="16"/>
  </r>
  <r>
    <n v="144739"/>
    <d v="2019-10-29T12:43:13"/>
    <s v="How do I enroll a second phone number"/>
    <x v="3"/>
    <x v="0"/>
    <x v="5"/>
    <x v="0"/>
    <x v="4"/>
    <x v="0"/>
    <m/>
    <m/>
    <x v="17"/>
  </r>
  <r>
    <n v="147980"/>
    <d v="2019-10-16T09:16:28"/>
    <s v="How to update billing address"/>
    <x v="3"/>
    <x v="0"/>
    <x v="6"/>
    <x v="0"/>
    <x v="5"/>
    <x v="0"/>
    <m/>
    <m/>
    <x v="18"/>
  </r>
  <r>
    <n v="130515"/>
    <d v="2019-10-04T17:06:07"/>
    <s v="Hi! How do I change my email address here? I want to use my Outlook email instead of Gmail that I’m using now"/>
    <x v="3"/>
    <x v="0"/>
    <x v="3"/>
    <x v="0"/>
    <x v="5"/>
    <x v="0"/>
    <m/>
    <m/>
    <x v="18"/>
  </r>
  <r>
    <n v="142044"/>
    <d v="2019-10-27T06:01:13"/>
    <s v="with  my  address  i  can  change?"/>
    <x v="3"/>
    <x v="0"/>
    <x v="6"/>
    <x v="0"/>
    <x v="5"/>
    <x v="0"/>
    <m/>
    <m/>
    <x v="18"/>
  </r>
  <r>
    <n v="129816"/>
    <d v="2019-10-04T14:39:57"/>
    <s v="cant open my acct"/>
    <x v="0"/>
    <x v="0"/>
    <x v="1"/>
    <x v="0"/>
    <x v="6"/>
    <x v="0"/>
    <m/>
    <m/>
    <x v="19"/>
  </r>
  <r>
    <n v="144153"/>
    <d v="2019-10-11T04:44:20"/>
    <s v="My legal name is already updated"/>
    <x v="0"/>
    <x v="0"/>
    <x v="1"/>
    <x v="0"/>
    <x v="6"/>
    <x v="0"/>
    <s v="legal name"/>
    <m/>
    <x v="19"/>
  </r>
  <r>
    <n v="195177"/>
    <d v="2019-10-14T13:02:00"/>
    <s v="ING any update about my concerns... Please"/>
    <x v="3"/>
    <x v="0"/>
    <x v="1"/>
    <x v="0"/>
    <x v="6"/>
    <x v="0"/>
    <m/>
    <m/>
    <x v="20"/>
  </r>
  <r>
    <n v="166390"/>
    <d v="2019-10-07T16:54:12"/>
    <s v="Hi! My account is temporarily limited because my address does not match. Can you help me with this? I already matched my address but my account is not yet activated. I really need to make a transaction today."/>
    <x v="3"/>
    <x v="0"/>
    <x v="6"/>
    <x v="0"/>
    <x v="6"/>
    <x v="0"/>
    <m/>
    <m/>
    <x v="20"/>
  </r>
  <r>
    <n v="195074"/>
    <d v="2019-10-14T13:29:01"/>
    <s v="I'm submitting my edited address but it always says &quot;something went wrong&quot;"/>
    <x v="3"/>
    <x v="0"/>
    <x v="3"/>
    <x v="0"/>
    <x v="6"/>
    <x v="0"/>
    <m/>
    <s v="waht if issue when changing"/>
    <x v="20"/>
  </r>
  <r>
    <n v="140632"/>
    <d v="2019-10-27T05:02:37"/>
    <s v="Sir plsss _x000a_help me dis apps"/>
    <x v="3"/>
    <x v="1"/>
    <x v="2"/>
    <x v="1"/>
    <x v="6"/>
    <x v="1"/>
    <m/>
    <m/>
    <x v="20"/>
  </r>
  <r>
    <n v="123321"/>
    <d v="2019-11-02T11:24:19"/>
    <s v="can you help me?"/>
    <x v="3"/>
    <x v="1"/>
    <x v="2"/>
    <x v="1"/>
    <x v="6"/>
    <x v="1"/>
    <m/>
    <m/>
    <x v="20"/>
  </r>
  <r>
    <n v="120024"/>
    <d v="2019-11-05T14:14:45"/>
    <s v="I don't understand the issue. I had already submitted my driver's license which has a signature. how come i still get the same concern that hinders me from activating my account?"/>
    <x v="0"/>
    <x v="0"/>
    <x v="1"/>
    <x v="0"/>
    <x v="6"/>
    <x v="7"/>
    <m/>
    <m/>
    <x v="21"/>
  </r>
  <r>
    <n v="141213"/>
    <d v="2019-10-27T19:08:26"/>
    <s v="I submitted my id yesterday"/>
    <x v="3"/>
    <x v="0"/>
    <x v="1"/>
    <x v="0"/>
    <x v="6"/>
    <x v="3"/>
    <m/>
    <m/>
    <x v="22"/>
  </r>
  <r>
    <n v="136553"/>
    <d v="2019-10-20T18:40:31"/>
    <s v="Hi! My account is still not yet activated it's been 2 weeks,  kindly confirm thank you!"/>
    <x v="0"/>
    <x v="0"/>
    <x v="1"/>
    <x v="0"/>
    <x v="6"/>
    <x v="4"/>
    <m/>
    <m/>
    <x v="23"/>
  </r>
  <r>
    <n v="180591"/>
    <d v="2019-10-05T22:23:53"/>
    <s v="Hi, I submitted my application to open an account back in August however when I open the app it says that my application is being processed. How long would it take to process my application?"/>
    <x v="0"/>
    <x v="0"/>
    <x v="1"/>
    <x v="0"/>
    <x v="6"/>
    <x v="4"/>
    <m/>
    <m/>
    <x v="23"/>
  </r>
  <r>
    <n v="187556"/>
    <d v="2019-10-15T05:36:34"/>
    <s v="My account is still in verification I cant transfer money"/>
    <x v="0"/>
    <x v="0"/>
    <x v="1"/>
    <x v="0"/>
    <x v="6"/>
    <x v="4"/>
    <m/>
    <m/>
    <x v="23"/>
  </r>
  <r>
    <n v="185590"/>
    <d v="2019-10-23T02:27:04"/>
    <s v="Hello. I'd like to follow up on the activation of my account."/>
    <x v="0"/>
    <x v="0"/>
    <x v="1"/>
    <x v="0"/>
    <x v="6"/>
    <x v="4"/>
    <m/>
    <m/>
    <x v="23"/>
  </r>
  <r>
    <n v="117540"/>
    <d v="2019-11-04T06:04:29"/>
    <s v="Why my account is still unavailable? Thank you"/>
    <x v="0"/>
    <x v="0"/>
    <x v="1"/>
    <x v="0"/>
    <x v="6"/>
    <x v="4"/>
    <m/>
    <m/>
    <x v="23"/>
  </r>
  <r>
    <n v="168726"/>
    <d v="2019-10-09T13:05:37"/>
    <s v="Hi why is still my application still in progress? What is the status of it?"/>
    <x v="0"/>
    <x v="0"/>
    <x v="1"/>
    <x v="0"/>
    <x v="6"/>
    <x v="4"/>
    <m/>
    <m/>
    <x v="23"/>
  </r>
  <r>
    <n v="135660"/>
    <d v="2019-10-02T10:07:48"/>
    <s v="Hi. I would like to ask if my account is still active. Thanks!"/>
    <x v="0"/>
    <x v="0"/>
    <x v="1"/>
    <x v="0"/>
    <x v="6"/>
    <x v="4"/>
    <m/>
    <m/>
    <x v="23"/>
  </r>
  <r>
    <n v="121835"/>
    <d v="2019-11-05T06:39:22"/>
    <s v="Still unable to create account"/>
    <x v="0"/>
    <x v="0"/>
    <x v="1"/>
    <x v="0"/>
    <x v="6"/>
    <x v="4"/>
    <m/>
    <m/>
    <x v="23"/>
  </r>
  <r>
    <n v="116606"/>
    <d v="2019-11-03T14:00:18"/>
    <s v="I've been getting message to complete my address where in fact I already provided everything I could. I don't know what else to put anymore."/>
    <x v="0"/>
    <x v="0"/>
    <x v="1"/>
    <x v="0"/>
    <x v="6"/>
    <x v="4"/>
    <m/>
    <m/>
    <x v="23"/>
  </r>
  <r>
    <n v="127286"/>
    <d v="2019-10-03T07:34:07"/>
    <s v="I have updated my profile for account verification."/>
    <x v="0"/>
    <x v="0"/>
    <x v="1"/>
    <x v="0"/>
    <x v="6"/>
    <x v="4"/>
    <m/>
    <m/>
    <x v="23"/>
  </r>
  <r>
    <n v="141635"/>
    <d v="2019-10-27T13:54:42"/>
    <s v="Hi. I'm having trouble with the verification process, I'm following the instructions but its still failing."/>
    <x v="0"/>
    <x v="0"/>
    <x v="1"/>
    <x v="0"/>
    <x v="6"/>
    <x v="4"/>
    <m/>
    <m/>
    <x v="23"/>
  </r>
  <r>
    <n v="155805"/>
    <d v="2019-10-10T13:57:28"/>
    <s v="How long it will take for my account to be activated. Been waiting for so long to transfer funds"/>
    <x v="0"/>
    <x v="0"/>
    <x v="1"/>
    <x v="0"/>
    <x v="6"/>
    <x v="4"/>
    <m/>
    <m/>
    <x v="23"/>
  </r>
  <r>
    <n v="182879"/>
    <d v="2019-10-24T05:07:58"/>
    <s v="I recently moved in to a new home. My account takes too long to verify mu new address so I edited mynprofile and reverted back to my old address as reflected in my ID. Please verify my account soon. Its been more than a week. Thank you."/>
    <x v="0"/>
    <x v="0"/>
    <x v="1"/>
    <x v="0"/>
    <x v="6"/>
    <x v="4"/>
    <m/>
    <m/>
    <x v="23"/>
  </r>
  <r>
    <n v="126473"/>
    <d v="2019-10-03T16:03:03"/>
    <s v="Hi.i just wanted to check the status of my account? I recently opened an account and have resubmitted the proof of billing as the first  submission was blurred..can you please confirm when this will be activated?"/>
    <x v="0"/>
    <x v="0"/>
    <x v="1"/>
    <x v="0"/>
    <x v="6"/>
    <x v="4"/>
    <m/>
    <m/>
    <x v="23"/>
  </r>
  <r>
    <n v="129755"/>
    <d v="2019-10-04T10:14:37"/>
    <s v="I already uploaded updated proof of address"/>
    <x v="3"/>
    <x v="0"/>
    <x v="6"/>
    <x v="0"/>
    <x v="6"/>
    <x v="4"/>
    <m/>
    <m/>
    <x v="24"/>
  </r>
  <r>
    <n v="139949"/>
    <d v="2019-10-18T07:46:59"/>
    <s v="theres something wrong in my update addresd it cannot proceed to next step"/>
    <x v="3"/>
    <x v="0"/>
    <x v="6"/>
    <x v="0"/>
    <x v="6"/>
    <x v="4"/>
    <m/>
    <m/>
    <x v="24"/>
  </r>
  <r>
    <n v="145651"/>
    <d v="2019-10-29T03:43:54"/>
    <s v="Hi. I transferred some funds into my Unionbank account last night. When will it post on my Unionbank account?"/>
    <x v="2"/>
    <x v="0"/>
    <x v="1"/>
    <x v="0"/>
    <x v="6"/>
    <x v="8"/>
    <m/>
    <m/>
    <x v="25"/>
  </r>
  <r>
    <n v="162080"/>
    <d v="2019-10-21T07:21:56"/>
    <s v="Deposit has been rejected twice already. 3x i lost your chat support. Once and for all, may i get a decent help, do you not accept an MC for deposit??"/>
    <x v="2"/>
    <x v="0"/>
    <x v="1"/>
    <x v="0"/>
    <x v="6"/>
    <x v="8"/>
    <m/>
    <m/>
    <x v="25"/>
  </r>
  <r>
    <n v="126454"/>
    <d v="2019-10-03T03:14:22"/>
    <s v="I have not received the money I transferred last night to BPI. Can you please check"/>
    <x v="2"/>
    <x v="0"/>
    <x v="1"/>
    <x v="0"/>
    <x v="6"/>
    <x v="8"/>
    <m/>
    <m/>
    <x v="25"/>
  </r>
  <r>
    <n v="173049"/>
    <d v="2019-10-30T05:01:51"/>
    <s v="hi I just transferred to my metrobank account. I still have not seen it reflected in my account"/>
    <x v="2"/>
    <x v="0"/>
    <x v="1"/>
    <x v="0"/>
    <x v="6"/>
    <x v="8"/>
    <m/>
    <m/>
    <x v="25"/>
  </r>
  <r>
    <n v="121011"/>
    <d v="2019-11-05T10:46:18"/>
    <s v="Hi! Wondering how long does it take for interbank transfer to take place? Did a transaction after lunch and amount has not been placed since then. Hope you can help me as I need the money. Thank you"/>
    <x v="2"/>
    <x v="0"/>
    <x v="1"/>
    <x v="0"/>
    <x v="6"/>
    <x v="8"/>
    <m/>
    <m/>
    <x v="25"/>
  </r>
  <r>
    <n v="151248"/>
    <d v="2019-10-28T03:17:49"/>
    <s v="The money i transferred since last friday has not been credited yet to the destination account!!!!!"/>
    <x v="2"/>
    <x v="0"/>
    <x v="1"/>
    <x v="0"/>
    <x v="6"/>
    <x v="8"/>
    <m/>
    <m/>
    <x v="25"/>
  </r>
  <r>
    <n v="157572"/>
    <d v="2019-10-10T00:35:17"/>
    <s v="How long will it take if i transfer back money to my other bank acct?"/>
    <x v="2"/>
    <x v="0"/>
    <x v="1"/>
    <x v="0"/>
    <x v="6"/>
    <x v="8"/>
    <m/>
    <m/>
    <x v="25"/>
  </r>
  <r>
    <n v="192759"/>
    <d v="2019-10-14T06:29:07"/>
    <s v="Hi, why is my deposit via gcash not yet reflected in my account"/>
    <x v="2"/>
    <x v="0"/>
    <x v="1"/>
    <x v="0"/>
    <x v="6"/>
    <x v="8"/>
    <m/>
    <m/>
    <x v="25"/>
  </r>
  <r>
    <n v="119099"/>
    <d v="2019-11-04T00:56:43"/>
    <s v="How to check my recent cheque deposit?"/>
    <x v="2"/>
    <x v="0"/>
    <x v="1"/>
    <x v="0"/>
    <x v="6"/>
    <x v="8"/>
    <m/>
    <m/>
    <x v="25"/>
  </r>
  <r>
    <n v="158709"/>
    <d v="2019-10-19T09:40:27"/>
    <s v="i have a problem with one of my transfers"/>
    <x v="2"/>
    <x v="0"/>
    <x v="1"/>
    <x v="0"/>
    <x v="6"/>
    <x v="8"/>
    <m/>
    <m/>
    <x v="25"/>
  </r>
  <r>
    <n v="200432"/>
    <d v="2019-10-25T11:32:23"/>
    <s v="please update my profile, i already edit my profile. i cant transfer to my bank account."/>
    <x v="2"/>
    <x v="0"/>
    <x v="1"/>
    <x v="0"/>
    <x v="6"/>
    <x v="8"/>
    <m/>
    <m/>
    <x v="25"/>
  </r>
  <r>
    <n v="123624"/>
    <d v="2019-11-02T12:48:12"/>
    <s v="Can you help me regarding my transfer of 1000 from ING to my bank account. Because according to my dashboard 1000 has already been transferred but according to my bank account no 1000 was transferred.. Your immediate response regarding this matter is very much appreciated.."/>
    <x v="2"/>
    <x v="0"/>
    <x v="1"/>
    <x v="0"/>
    <x v="6"/>
    <x v="8"/>
    <m/>
    <m/>
    <x v="25"/>
  </r>
  <r>
    <n v="169089"/>
    <d v="2019-10-09T13:23:21"/>
    <s v="Hi. I initiated an InstaPay bank transfer for PHP 7,151.52 from my GCash wallet to my ING Bank account yesterday, 8 October 2019 at exactly 2:01pm. The funds have not yet been credited to my ING account. GCash advised me to check with you, ING, about it and give you ticket number 257953 from their confirmation page. Can you check what is going on?"/>
    <x v="2"/>
    <x v="0"/>
    <x v="1"/>
    <x v="0"/>
    <x v="6"/>
    <x v="8"/>
    <m/>
    <m/>
    <x v="25"/>
  </r>
  <r>
    <n v="200803"/>
    <d v="2019-10-25T01:11:40"/>
    <s v="would like to know when it will appear in my CIMB the money i transferred last  night"/>
    <x v="2"/>
    <x v="0"/>
    <x v="1"/>
    <x v="0"/>
    <x v="6"/>
    <x v="8"/>
    <m/>
    <m/>
    <x v="25"/>
  </r>
  <r>
    <n v="139331"/>
    <d v="2019-10-18T00:31:02"/>
    <s v="Now my problem is that the money is deducted from my citi bank account and it is not being reflected in my account here"/>
    <x v="2"/>
    <x v="0"/>
    <x v="1"/>
    <x v="0"/>
    <x v="6"/>
    <x v="8"/>
    <m/>
    <m/>
    <x v="25"/>
  </r>
  <r>
    <n v="171097"/>
    <d v="2019-10-31T16:08:19"/>
    <s v="My transfer has not received yet"/>
    <x v="2"/>
    <x v="0"/>
    <x v="1"/>
    <x v="0"/>
    <x v="6"/>
    <x v="8"/>
    <m/>
    <m/>
    <x v="25"/>
  </r>
  <r>
    <n v="190465"/>
    <d v="2019-10-12T17:19:22"/>
    <s v="Hi ive transfer 5000 thru my BPI account using my ING, Till now no one has come to my BPI ACCOUNT"/>
    <x v="2"/>
    <x v="0"/>
    <x v="1"/>
    <x v="0"/>
    <x v="6"/>
    <x v="8"/>
    <m/>
    <m/>
    <x v="25"/>
  </r>
  <r>
    <n v="199139"/>
    <d v="2019-10-25T05:19:27"/>
    <s v="Why i dont receive sms verification number?"/>
    <x v="3"/>
    <x v="0"/>
    <x v="1"/>
    <x v="3"/>
    <x v="6"/>
    <x v="8"/>
    <m/>
    <m/>
    <x v="26"/>
  </r>
  <r>
    <n v="179875"/>
    <d v="2019-10-06T14:00:14"/>
    <s v="My transfer button is greyed out"/>
    <x v="2"/>
    <x v="0"/>
    <x v="1"/>
    <x v="4"/>
    <x v="6"/>
    <x v="9"/>
    <m/>
    <m/>
    <x v="27"/>
  </r>
  <r>
    <n v="196546"/>
    <d v="2019-10-22T04:42:38"/>
    <s v="Could you kindly advice what exact time my deposit via INSTAPAY was credited to my account yesterday?"/>
    <x v="2"/>
    <x v="0"/>
    <x v="1"/>
    <x v="0"/>
    <x v="6"/>
    <x v="6"/>
    <m/>
    <m/>
    <x v="28"/>
  </r>
  <r>
    <n v="194396"/>
    <d v="2019-10-14T08:18:55"/>
    <s v="I want to replace my driver's license which just renewed last month."/>
    <x v="3"/>
    <x v="0"/>
    <x v="1"/>
    <x v="0"/>
    <x v="7"/>
    <x v="7"/>
    <m/>
    <m/>
    <x v="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7">
  <r>
    <x v="0"/>
    <x v="0"/>
  </r>
  <r>
    <x v="1"/>
    <x v="0"/>
  </r>
  <r>
    <x v="2"/>
    <x v="1"/>
  </r>
  <r>
    <x v="3"/>
    <x v="1"/>
  </r>
  <r>
    <x v="4"/>
    <x v="2"/>
  </r>
  <r>
    <x v="5"/>
    <x v="2"/>
  </r>
  <r>
    <x v="6"/>
    <x v="2"/>
  </r>
  <r>
    <x v="7"/>
    <x v="2"/>
  </r>
  <r>
    <x v="8"/>
    <x v="2"/>
  </r>
  <r>
    <x v="9"/>
    <x v="1"/>
  </r>
  <r>
    <x v="10"/>
    <x v="3"/>
  </r>
  <r>
    <x v="11"/>
    <x v="3"/>
  </r>
  <r>
    <x v="12"/>
    <x v="2"/>
  </r>
  <r>
    <x v="13"/>
    <x v="4"/>
  </r>
  <r>
    <x v="14"/>
    <x v="5"/>
  </r>
  <r>
    <x v="15"/>
    <x v="6"/>
  </r>
  <r>
    <x v="16"/>
    <x v="7"/>
  </r>
  <r>
    <x v="17"/>
    <x v="8"/>
  </r>
  <r>
    <x v="18"/>
    <x v="1"/>
  </r>
  <r>
    <x v="19"/>
    <x v="3"/>
  </r>
  <r>
    <x v="20"/>
    <x v="6"/>
  </r>
  <r>
    <x v="21"/>
    <x v="1"/>
  </r>
  <r>
    <x v="22"/>
    <x v="2"/>
  </r>
  <r>
    <x v="23"/>
    <x v="2"/>
  </r>
  <r>
    <x v="24"/>
    <x v="2"/>
  </r>
  <r>
    <x v="25"/>
    <x v="9"/>
  </r>
  <r>
    <x v="26"/>
    <x v="9"/>
  </r>
  <r>
    <x v="27"/>
    <x v="9"/>
  </r>
  <r>
    <x v="28"/>
    <x v="10"/>
  </r>
  <r>
    <x v="29"/>
    <x v="4"/>
  </r>
  <r>
    <x v="30"/>
    <x v="8"/>
  </r>
  <r>
    <x v="31"/>
    <x v="9"/>
  </r>
  <r>
    <x v="32"/>
    <x v="1"/>
  </r>
  <r>
    <x v="33"/>
    <x v="8"/>
  </r>
  <r>
    <x v="34"/>
    <x v="8"/>
  </r>
  <r>
    <x v="35"/>
    <x v="6"/>
  </r>
  <r>
    <x v="36"/>
    <x v="1"/>
  </r>
  <r>
    <x v="37"/>
    <x v="11"/>
  </r>
  <r>
    <x v="38"/>
    <x v="1"/>
  </r>
  <r>
    <x v="39"/>
    <x v="1"/>
  </r>
  <r>
    <x v="40"/>
    <x v="2"/>
  </r>
  <r>
    <x v="41"/>
    <x v="3"/>
  </r>
  <r>
    <x v="42"/>
    <x v="2"/>
  </r>
  <r>
    <x v="43"/>
    <x v="11"/>
  </r>
  <r>
    <x v="44"/>
    <x v="6"/>
  </r>
  <r>
    <x v="45"/>
    <x v="6"/>
  </r>
  <r>
    <x v="46"/>
    <x v="6"/>
  </r>
  <r>
    <x v="47"/>
    <x v="12"/>
  </r>
  <r>
    <x v="48"/>
    <x v="12"/>
  </r>
  <r>
    <x v="49"/>
    <x v="12"/>
  </r>
  <r>
    <x v="50"/>
    <x v="8"/>
  </r>
  <r>
    <x v="51"/>
    <x v="12"/>
  </r>
  <r>
    <x v="52"/>
    <x v="6"/>
  </r>
  <r>
    <x v="53"/>
    <x v="9"/>
  </r>
  <r>
    <x v="54"/>
    <x v="8"/>
  </r>
  <r>
    <x v="55"/>
    <x v="4"/>
  </r>
  <r>
    <x v="56"/>
    <x v="2"/>
  </r>
  <r>
    <x v="57"/>
    <x v="3"/>
  </r>
  <r>
    <x v="58"/>
    <x v="3"/>
  </r>
  <r>
    <x v="59"/>
    <x v="3"/>
  </r>
  <r>
    <x v="60"/>
    <x v="4"/>
  </r>
  <r>
    <x v="61"/>
    <x v="0"/>
  </r>
  <r>
    <x v="62"/>
    <x v="3"/>
  </r>
  <r>
    <x v="63"/>
    <x v="6"/>
  </r>
  <r>
    <x v="64"/>
    <x v="6"/>
  </r>
  <r>
    <x v="65"/>
    <x v="3"/>
  </r>
  <r>
    <x v="66"/>
    <x v="5"/>
  </r>
  <r>
    <x v="67"/>
    <x v="2"/>
  </r>
  <r>
    <x v="68"/>
    <x v="5"/>
  </r>
  <r>
    <x v="69"/>
    <x v="5"/>
  </r>
  <r>
    <x v="70"/>
    <x v="4"/>
  </r>
  <r>
    <x v="71"/>
    <x v="6"/>
  </r>
  <r>
    <x v="72"/>
    <x v="5"/>
  </r>
  <r>
    <x v="73"/>
    <x v="8"/>
  </r>
  <r>
    <x v="74"/>
    <x v="5"/>
  </r>
  <r>
    <x v="75"/>
    <x v="8"/>
  </r>
  <r>
    <x v="76"/>
    <x v="2"/>
  </r>
  <r>
    <x v="77"/>
    <x v="8"/>
  </r>
  <r>
    <x v="78"/>
    <x v="8"/>
  </r>
  <r>
    <x v="79"/>
    <x v="8"/>
  </r>
  <r>
    <x v="80"/>
    <x v="3"/>
  </r>
  <r>
    <x v="81"/>
    <x v="6"/>
  </r>
  <r>
    <x v="82"/>
    <x v="8"/>
  </r>
  <r>
    <x v="83"/>
    <x v="4"/>
  </r>
  <r>
    <x v="84"/>
    <x v="12"/>
  </r>
  <r>
    <x v="85"/>
    <x v="3"/>
  </r>
  <r>
    <x v="86"/>
    <x v="9"/>
  </r>
  <r>
    <x v="87"/>
    <x v="2"/>
  </r>
  <r>
    <x v="88"/>
    <x v="2"/>
  </r>
  <r>
    <x v="89"/>
    <x v="2"/>
  </r>
  <r>
    <x v="90"/>
    <x v="8"/>
  </r>
  <r>
    <x v="91"/>
    <x v="4"/>
  </r>
  <r>
    <x v="92"/>
    <x v="4"/>
  </r>
  <r>
    <x v="93"/>
    <x v="3"/>
  </r>
  <r>
    <x v="94"/>
    <x v="3"/>
  </r>
  <r>
    <x v="95"/>
    <x v="13"/>
  </r>
  <r>
    <x v="96"/>
    <x v="13"/>
  </r>
  <r>
    <x v="97"/>
    <x v="13"/>
  </r>
  <r>
    <x v="98"/>
    <x v="13"/>
  </r>
  <r>
    <x v="99"/>
    <x v="13"/>
  </r>
  <r>
    <x v="100"/>
    <x v="13"/>
  </r>
  <r>
    <x v="101"/>
    <x v="8"/>
  </r>
  <r>
    <x v="102"/>
    <x v="0"/>
  </r>
  <r>
    <x v="103"/>
    <x v="6"/>
  </r>
  <r>
    <x v="104"/>
    <x v="4"/>
  </r>
  <r>
    <x v="105"/>
    <x v="2"/>
  </r>
  <r>
    <x v="106"/>
    <x v="4"/>
  </r>
  <r>
    <x v="107"/>
    <x v="5"/>
  </r>
  <r>
    <x v="108"/>
    <x v="14"/>
  </r>
  <r>
    <x v="109"/>
    <x v="14"/>
  </r>
  <r>
    <x v="110"/>
    <x v="14"/>
  </r>
  <r>
    <x v="111"/>
    <x v="14"/>
  </r>
  <r>
    <x v="112"/>
    <x v="14"/>
  </r>
  <r>
    <x v="113"/>
    <x v="14"/>
  </r>
  <r>
    <x v="114"/>
    <x v="14"/>
  </r>
  <r>
    <x v="115"/>
    <x v="14"/>
  </r>
  <r>
    <x v="116"/>
    <x v="2"/>
  </r>
  <r>
    <x v="117"/>
    <x v="2"/>
  </r>
  <r>
    <x v="118"/>
    <x v="1"/>
  </r>
  <r>
    <x v="119"/>
    <x v="12"/>
  </r>
  <r>
    <x v="120"/>
    <x v="12"/>
  </r>
  <r>
    <x v="121"/>
    <x v="11"/>
  </r>
  <r>
    <x v="122"/>
    <x v="11"/>
  </r>
  <r>
    <x v="123"/>
    <x v="4"/>
  </r>
  <r>
    <x v="124"/>
    <x v="9"/>
  </r>
  <r>
    <x v="125"/>
    <x v="9"/>
  </r>
  <r>
    <x v="126"/>
    <x v="9"/>
  </r>
  <r>
    <x v="127"/>
    <x v="2"/>
  </r>
  <r>
    <x v="128"/>
    <x v="8"/>
  </r>
  <r>
    <x v="129"/>
    <x v="2"/>
  </r>
  <r>
    <x v="130"/>
    <x v="2"/>
  </r>
  <r>
    <x v="131"/>
    <x v="6"/>
  </r>
  <r>
    <x v="132"/>
    <x v="0"/>
  </r>
  <r>
    <x v="133"/>
    <x v="8"/>
  </r>
  <r>
    <x v="134"/>
    <x v="0"/>
  </r>
  <r>
    <x v="135"/>
    <x v="9"/>
  </r>
  <r>
    <x v="136"/>
    <x v="9"/>
  </r>
  <r>
    <x v="137"/>
    <x v="3"/>
  </r>
  <r>
    <x v="138"/>
    <x v="3"/>
  </r>
  <r>
    <x v="139"/>
    <x v="3"/>
  </r>
  <r>
    <x v="140"/>
    <x v="3"/>
  </r>
  <r>
    <x v="141"/>
    <x v="3"/>
  </r>
  <r>
    <x v="142"/>
    <x v="3"/>
  </r>
  <r>
    <x v="143"/>
    <x v="3"/>
  </r>
  <r>
    <x v="144"/>
    <x v="3"/>
  </r>
  <r>
    <x v="145"/>
    <x v="9"/>
  </r>
  <r>
    <x v="146"/>
    <x v="5"/>
  </r>
  <r>
    <x v="147"/>
    <x v="2"/>
  </r>
  <r>
    <x v="148"/>
    <x v="2"/>
  </r>
  <r>
    <x v="149"/>
    <x v="1"/>
  </r>
  <r>
    <x v="150"/>
    <x v="5"/>
  </r>
  <r>
    <x v="151"/>
    <x v="4"/>
  </r>
  <r>
    <x v="152"/>
    <x v="5"/>
  </r>
  <r>
    <x v="153"/>
    <x v="5"/>
  </r>
  <r>
    <x v="154"/>
    <x v="4"/>
  </r>
  <r>
    <x v="155"/>
    <x v="6"/>
  </r>
  <r>
    <x v="156"/>
    <x v="3"/>
  </r>
  <r>
    <x v="157"/>
    <x v="1"/>
  </r>
  <r>
    <x v="158"/>
    <x v="8"/>
  </r>
  <r>
    <x v="159"/>
    <x v="8"/>
  </r>
  <r>
    <x v="160"/>
    <x v="9"/>
  </r>
  <r>
    <x v="161"/>
    <x v="6"/>
  </r>
  <r>
    <x v="162"/>
    <x v="9"/>
  </r>
  <r>
    <x v="163"/>
    <x v="9"/>
  </r>
  <r>
    <x v="164"/>
    <x v="8"/>
  </r>
  <r>
    <x v="165"/>
    <x v="8"/>
  </r>
  <r>
    <x v="166"/>
    <x v="8"/>
  </r>
  <r>
    <x v="167"/>
    <x v="8"/>
  </r>
  <r>
    <x v="168"/>
    <x v="3"/>
  </r>
  <r>
    <x v="169"/>
    <x v="3"/>
  </r>
  <r>
    <x v="170"/>
    <x v="3"/>
  </r>
  <r>
    <x v="171"/>
    <x v="3"/>
  </r>
  <r>
    <x v="172"/>
    <x v="3"/>
  </r>
  <r>
    <x v="173"/>
    <x v="4"/>
  </r>
  <r>
    <x v="174"/>
    <x v="6"/>
  </r>
  <r>
    <x v="175"/>
    <x v="8"/>
  </r>
  <r>
    <x v="176"/>
    <x v="8"/>
  </r>
  <r>
    <x v="177"/>
    <x v="9"/>
  </r>
  <r>
    <x v="178"/>
    <x v="13"/>
  </r>
  <r>
    <x v="179"/>
    <x v="10"/>
  </r>
  <r>
    <x v="180"/>
    <x v="9"/>
  </r>
  <r>
    <x v="181"/>
    <x v="10"/>
  </r>
  <r>
    <x v="182"/>
    <x v="10"/>
  </r>
  <r>
    <x v="183"/>
    <x v="9"/>
  </r>
  <r>
    <x v="184"/>
    <x v="1"/>
  </r>
  <r>
    <x v="185"/>
    <x v="1"/>
  </r>
  <r>
    <x v="186"/>
    <x v="1"/>
  </r>
  <r>
    <x v="187"/>
    <x v="5"/>
  </r>
  <r>
    <x v="188"/>
    <x v="8"/>
  </r>
  <r>
    <x v="189"/>
    <x v="1"/>
  </r>
  <r>
    <x v="190"/>
    <x v="4"/>
  </r>
  <r>
    <x v="191"/>
    <x v="10"/>
  </r>
  <r>
    <x v="192"/>
    <x v="7"/>
  </r>
  <r>
    <x v="193"/>
    <x v="7"/>
  </r>
  <r>
    <x v="194"/>
    <x v="7"/>
  </r>
  <r>
    <x v="195"/>
    <x v="10"/>
  </r>
  <r>
    <x v="196"/>
    <x v="10"/>
  </r>
  <r>
    <x v="197"/>
    <x v="10"/>
  </r>
  <r>
    <x v="198"/>
    <x v="10"/>
  </r>
  <r>
    <x v="199"/>
    <x v="10"/>
  </r>
  <r>
    <x v="200"/>
    <x v="10"/>
  </r>
  <r>
    <x v="201"/>
    <x v="10"/>
  </r>
  <r>
    <x v="202"/>
    <x v="10"/>
  </r>
  <r>
    <x v="203"/>
    <x v="10"/>
  </r>
  <r>
    <x v="204"/>
    <x v="10"/>
  </r>
  <r>
    <x v="205"/>
    <x v="7"/>
  </r>
  <r>
    <x v="206"/>
    <x v="8"/>
  </r>
  <r>
    <x v="207"/>
    <x v="8"/>
  </r>
  <r>
    <x v="208"/>
    <x v="1"/>
  </r>
  <r>
    <x v="209"/>
    <x v="1"/>
  </r>
  <r>
    <x v="210"/>
    <x v="6"/>
  </r>
  <r>
    <x v="211"/>
    <x v="3"/>
  </r>
  <r>
    <x v="212"/>
    <x v="3"/>
  </r>
  <r>
    <x v="213"/>
    <x v="3"/>
  </r>
  <r>
    <x v="214"/>
    <x v="3"/>
  </r>
  <r>
    <x v="215"/>
    <x v="3"/>
  </r>
  <r>
    <x v="216"/>
    <x v="3"/>
  </r>
  <r>
    <x v="217"/>
    <x v="3"/>
  </r>
  <r>
    <x v="218"/>
    <x v="0"/>
  </r>
  <r>
    <x v="219"/>
    <x v="4"/>
  </r>
  <r>
    <x v="220"/>
    <x v="8"/>
  </r>
  <r>
    <x v="221"/>
    <x v="8"/>
  </r>
  <r>
    <x v="222"/>
    <x v="1"/>
  </r>
  <r>
    <x v="223"/>
    <x v="1"/>
  </r>
  <r>
    <x v="224"/>
    <x v="4"/>
  </r>
  <r>
    <x v="225"/>
    <x v="5"/>
  </r>
  <r>
    <x v="226"/>
    <x v="8"/>
  </r>
  <r>
    <x v="227"/>
    <x v="8"/>
  </r>
  <r>
    <x v="228"/>
    <x v="8"/>
  </r>
  <r>
    <x v="229"/>
    <x v="8"/>
  </r>
  <r>
    <x v="230"/>
    <x v="8"/>
  </r>
  <r>
    <x v="231"/>
    <x v="8"/>
  </r>
  <r>
    <x v="232"/>
    <x v="8"/>
  </r>
  <r>
    <x v="233"/>
    <x v="1"/>
  </r>
  <r>
    <x v="234"/>
    <x v="4"/>
  </r>
  <r>
    <x v="235"/>
    <x v="15"/>
  </r>
  <r>
    <x v="235"/>
    <x v="1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1">
  <r>
    <n v="120024"/>
    <d v="2019-11-05T14:14:45"/>
    <s v="I don't understand the issue. I had already submitted my driver's license which has a signature. how come i still get the same concern that hinders me from activating my account?"/>
    <s v="credentials"/>
    <x v="0"/>
    <s v="update"/>
    <s v="instructions"/>
    <s v="client fails to submit credentials because of update and needs instructions"/>
  </r>
  <r>
    <n v="121011"/>
    <d v="2019-11-05T10:46:18"/>
    <s v="Hi! Wondering how long does it take for interbank transfer to take place? Did a transaction after lunch and amount has not been placed since then. Hope you can help me as I need the money. Thank you"/>
    <s v="payment"/>
    <x v="1"/>
    <s v="pending process"/>
    <s v="status"/>
    <s v="client not received payment because of pending process and needs status"/>
  </r>
  <r>
    <n v="121025"/>
    <d v="2019-11-05T07:01:45"/>
    <s v="Can i transfer via gcash?"/>
    <s v="payment"/>
    <x v="2"/>
    <s v="undefined"/>
    <s v="information"/>
    <s v="client wants to transfer via gcash payment and needs information"/>
  </r>
  <r>
    <n v="121835"/>
    <d v="2019-11-05T06:39:22"/>
    <s v="Still unable to create account"/>
    <s v="account"/>
    <x v="3"/>
    <s v="undefined"/>
    <s v="instructions"/>
    <s v="client fails to create/activate account and needs instructions"/>
  </r>
  <r>
    <n v="119769"/>
    <d v="2019-11-05T05:19:07"/>
    <s v="I deposited a BPI check earlier but I indicated the wrong deposit date at the back of the check. How should I correct this?"/>
    <s v="payment"/>
    <x v="4"/>
    <s v="wrong deposit date"/>
    <s v="instructions"/>
    <s v="client fails BPI check deposit payment because of wrong deposit date and needs instructions"/>
  </r>
  <r>
    <n v="118670"/>
    <d v="2019-11-04T12:38:04"/>
    <s v="hello"/>
    <s v="starts dialogue"/>
    <x v="5"/>
    <s v="undefined"/>
    <s v="a welcome reply"/>
    <s v="client starts dialogue and needs a welcome reply"/>
  </r>
  <r>
    <n v="119672"/>
    <d v="2019-11-04T08:32:47"/>
    <s v="Hello. I am being requested to present an ID bearing my signature. What I currently have is a new passport which does not really have a signature since it is digital. What to do? I have an old passport but it is under my single name."/>
    <s v="credentials"/>
    <x v="6"/>
    <s v="update"/>
    <s v="instructions"/>
    <s v="client update new id without signature credentials because of update and needs instructions"/>
  </r>
  <r>
    <n v="118299"/>
    <d v="2019-11-04T06:34:04"/>
    <s v="Hi"/>
    <s v="starts dialogue"/>
    <x v="5"/>
    <s v="undefined"/>
    <s v="a welcome reply"/>
    <s v="client starts dialogue and needs a welcome reply"/>
  </r>
  <r>
    <n v="117540"/>
    <d v="2019-11-04T06:04:29"/>
    <s v="Why my account is still unavailable? Thank you"/>
    <s v="account"/>
    <x v="7"/>
    <s v="pending process"/>
    <s v="status"/>
    <s v="client awaits activation account because of pending process and needs status"/>
  </r>
  <r>
    <n v="117474"/>
    <d v="2019-11-04T05:46:57"/>
    <s v="Hi how will i retrieve my pincode?thanks"/>
    <s v="account"/>
    <x v="8"/>
    <s v="lost credentials"/>
    <s v="instructions"/>
    <s v="client fails to login account because of lost credentials and needs instructions"/>
  </r>
  <r>
    <n v="119201"/>
    <d v="2019-11-04T04:04:44"/>
    <s v="Hi"/>
    <s v="starts dialogue"/>
    <x v="5"/>
    <s v="undefined"/>
    <s v="a welcome reply"/>
    <s v="client starts dialogue and needs a welcome reply"/>
  </r>
  <r>
    <n v="118781"/>
    <d v="2019-11-04T03:27:10"/>
    <s v="You had an email telling that you have rejected my check deposit. Can I deposit it again?"/>
    <s v="payment"/>
    <x v="9"/>
    <s v="undefined"/>
    <s v="reason for rejection"/>
    <s v="client rejected check deposit payment and needs reason for rejection"/>
  </r>
  <r>
    <n v="119099"/>
    <d v="2019-11-04T00:56:43"/>
    <s v="How to check my recent cheque deposit?"/>
    <s v="payment"/>
    <x v="10"/>
    <s v="undefined"/>
    <s v="instructions"/>
    <s v="client wants to check deposit payment and needs instructions"/>
  </r>
  <r>
    <n v="117032"/>
    <d v="2019-11-03T18:21:12"/>
    <s v="Hi"/>
    <s v="starts dialogue"/>
    <x v="5"/>
    <s v="undefined"/>
    <s v="a welcome reply"/>
    <s v="client starts dialogue and needs a welcome reply"/>
  </r>
  <r>
    <n v="116606"/>
    <d v="2019-11-03T14:00:18"/>
    <s v="I've been getting message to complete my address where in fact I already provided everything I could. I don't know what else to put anymore."/>
    <s v="account"/>
    <x v="3"/>
    <s v="update"/>
    <s v="instructions"/>
    <s v="client fails to create/activate account because of update and needs instructions"/>
  </r>
  <r>
    <n v="122658"/>
    <d v="2019-11-02T16:17:41"/>
    <s v="Hi"/>
    <s v="starts dialogue"/>
    <x v="5"/>
    <s v="undefined"/>
    <s v="a welcome reply"/>
    <s v="client starts dialogue and needs a welcome reply"/>
  </r>
  <r>
    <n v="123624"/>
    <d v="2019-11-02T12:48:12"/>
    <s v="Can you help me regarding my transfer of 1000 from ING to my bank account. Because according to my dashboard 1000 has already been transferred but according to my bank account no 1000 was transferred.. Your immediate response regarding this matter is very much appreciated.."/>
    <s v="payment"/>
    <x v="1"/>
    <s v="pending process"/>
    <s v="status"/>
    <s v="client not received payment because of pending process and needs status"/>
  </r>
  <r>
    <n v="123321"/>
    <d v="2019-11-02T11:24:19"/>
    <s v="can you help me?"/>
    <s v="undefined"/>
    <x v="5"/>
    <s v="undefined"/>
    <s v=" a welcome reply"/>
    <s v="client and needs  a welcome reply"/>
  </r>
  <r>
    <n v="122679"/>
    <d v="2019-11-02T09:19:12"/>
    <s v="Hi. When will my account be fully activated?"/>
    <s v="account"/>
    <x v="7"/>
    <s v="pending process"/>
    <s v="status"/>
    <s v="client awaits activation account because of pending process and needs status"/>
  </r>
  <r>
    <n v="123422"/>
    <d v="2019-11-02T08:04:41"/>
    <s v="how can i deposit?"/>
    <s v="payment"/>
    <x v="11"/>
    <s v="undefined"/>
    <s v="instructions"/>
    <s v="client wants to deposit payment and needs instructions"/>
  </r>
  <r>
    <n v="123318"/>
    <d v="2019-11-02T04:33:43"/>
    <s v="Pwede po bang malaman kung paano ang instraction or kung makapasok d2..."/>
    <s v="undefined"/>
    <x v="12"/>
    <s v="undefined"/>
    <s v="to repeat question in english"/>
    <s v="client speaks foreign language and needs to repeat question in english"/>
  </r>
  <r>
    <n v="125977"/>
    <d v="2019-11-01T13:59:38"/>
    <s v="Hello! I forgot my PIN :( how do I retrieve or change it?"/>
    <s v="account"/>
    <x v="8"/>
    <s v="lost credentials"/>
    <s v="instructions"/>
    <s v="client fails to login account because of lost credentials and needs instructions"/>
  </r>
  <r>
    <n v="124947"/>
    <d v="2019-11-01T06:04:16"/>
    <s v="Hi, I forgot my login password! What should I do?"/>
    <s v="account"/>
    <x v="8"/>
    <s v="lost credentials"/>
    <s v="instructions"/>
    <s v="client fails to login account because of lost credentials and needs instructions"/>
  </r>
  <r>
    <n v="171470"/>
    <d v="2019-10-31T20:50:54"/>
    <s v="How long it’s gonna take for my account to be verified?"/>
    <s v="account"/>
    <x v="7"/>
    <s v="pending process"/>
    <s v="status"/>
    <s v="client awaits activation account because of pending process and needs status"/>
  </r>
  <r>
    <n v="170788"/>
    <d v="2019-10-31T16:58:22"/>
    <s v="Interest Rate"/>
    <s v="undefined"/>
    <x v="5"/>
    <s v="undefined"/>
    <s v="to clarify question"/>
    <s v="client and needs to clarify question"/>
  </r>
  <r>
    <n v="171097"/>
    <d v="2019-10-31T16:08:19"/>
    <s v="My transfer has not received yet"/>
    <s v="payment"/>
    <x v="1"/>
    <s v="pending process"/>
    <s v="status"/>
    <s v="client not received payment because of pending process and needs status"/>
  </r>
  <r>
    <n v="169689"/>
    <d v="2019-10-31T15:44:01"/>
    <s v="Good day, how to compute for monthly monthly interest?"/>
    <s v="interest"/>
    <x v="13"/>
    <s v="undefined"/>
    <s v="instructions"/>
    <s v="client wants to compute interest interest and needs instructions"/>
  </r>
  <r>
    <n v="170035"/>
    <d v="2019-10-31T06:39:05"/>
    <s v="Ilang minutes bago ma access yung mukha"/>
    <s v="undefined"/>
    <x v="5"/>
    <s v="undefined"/>
    <s v="to repeat question in english"/>
    <s v="client and needs to repeat question in english"/>
  </r>
  <r>
    <n v="169467"/>
    <d v="2019-10-31T05:34:40"/>
    <s v="Hi"/>
    <s v="starts dialogue"/>
    <x v="5"/>
    <s v="undefined"/>
    <s v="a welcome reply"/>
    <s v="client starts dialogue and needs a welcome reply"/>
  </r>
  <r>
    <n v="169477"/>
    <d v="2019-10-31T04:45:27"/>
    <s v="hello"/>
    <s v="starts dialogue"/>
    <x v="5"/>
    <s v="undefined"/>
    <s v="a welcome reply"/>
    <s v="client starts dialogue and needs a welcome reply"/>
  </r>
  <r>
    <n v="170491"/>
    <d v="2019-10-31T04:18:12"/>
    <s v="I don't have umud Id but I don have the old sss id?"/>
    <s v="credentials"/>
    <x v="14"/>
    <s v="missing required credentials"/>
    <s v="instructions"/>
    <s v="client wants to submit different id credentials because of missing required credentials and needs instructions"/>
  </r>
  <r>
    <n v="173049"/>
    <d v="2019-10-30T05:01:51"/>
    <s v="hi I just transferred to my metrobank account. I still have not seen it reflected in my account"/>
    <s v="payment"/>
    <x v="1"/>
    <s v="pending process"/>
    <s v="status"/>
    <s v="client not received payment because of pending process and needs status"/>
  </r>
  <r>
    <n v="144739"/>
    <d v="2019-10-29T12:43:13"/>
    <s v="How do I enroll a second phone number"/>
    <s v="credentials"/>
    <x v="15"/>
    <s v="update"/>
    <s v="instructions"/>
    <s v="client wants to add phone number credentials because of update and needs instructions"/>
  </r>
  <r>
    <n v="146512"/>
    <d v="2019-10-29T06:05:55"/>
    <s v="Hello ING I have a problem first I was able to opened an account online under my name with wrong spelling Gallego Cahili Gallego and also scan my IDs I start deposite to my account 1000 pesos"/>
    <s v="credentials"/>
    <x v="16"/>
    <s v="update"/>
    <s v="instructions"/>
    <s v="client wrong credentials credentials because of update and needs instructions"/>
  </r>
  <r>
    <n v="145651"/>
    <d v="2019-10-29T03:43:54"/>
    <s v="Hi. I transferred some funds into my Unionbank account last night. When will it post on my Unionbank account?"/>
    <s v="payment"/>
    <x v="1"/>
    <s v="pending process"/>
    <s v="status"/>
    <s v="client not received payment because of pending process and needs status"/>
  </r>
  <r>
    <n v="149974"/>
    <d v="2019-10-28T16:14:35"/>
    <s v="Hi. May I know how much is the fee for each withdrawal or fund transfer?"/>
    <s v="payment"/>
    <x v="17"/>
    <s v="undefined"/>
    <s v="information"/>
    <s v="client wants to know the fees payment and needs information"/>
  </r>
  <r>
    <n v="151872"/>
    <d v="2019-10-28T13:19:30"/>
    <s v="I cant priloceed"/>
    <s v="undefined"/>
    <x v="5"/>
    <s v="undefined"/>
    <s v="to clarify question"/>
    <s v="client and needs to clarify question"/>
  </r>
  <r>
    <n v="151131"/>
    <d v="2019-10-28T10:02:12"/>
    <s v="Hello"/>
    <s v="starts dialogue"/>
    <x v="5"/>
    <s v="undefined"/>
    <s v="a welcome reply"/>
    <s v="client starts dialogue and needs a welcome reply"/>
  </r>
  <r>
    <n v="151248"/>
    <d v="2019-10-28T03:17:49"/>
    <s v="The money i transferred since last friday has not been credited yet to the destination account!!!!!"/>
    <s v="payment"/>
    <x v="1"/>
    <s v="pending process"/>
    <s v="status"/>
    <s v="client not received payment because of pending process and needs status"/>
  </r>
  <r>
    <n v="150774"/>
    <d v="2019-10-28T01:34:48"/>
    <s v="How will I do the bank-to-bank deposit??"/>
    <s v="payment"/>
    <x v="18"/>
    <s v="undefined"/>
    <s v="instructions"/>
    <s v="client wants to do bank-bank deposit payment and needs instructions"/>
  </r>
  <r>
    <n v="151379"/>
    <d v="2019-10-28T00:56:33"/>
    <s v="Hi! Can I submit a different Government ID? Like a PRC ID? Thank you."/>
    <s v="credentials"/>
    <x v="14"/>
    <s v="missing required credentials"/>
    <s v="instructions"/>
    <s v="client wants to submit different id credentials because of missing required credentials and needs instructions"/>
  </r>
  <r>
    <n v="141213"/>
    <d v="2019-10-27T19:08:26"/>
    <s v="I submitted my id yesterday"/>
    <s v="credentials"/>
    <x v="5"/>
    <s v="update"/>
    <s v="to clarify question"/>
    <s v="client credentials because of update and needs to clarify question"/>
  </r>
  <r>
    <n v="141635"/>
    <d v="2019-10-27T13:54:42"/>
    <s v="Hi. I'm having trouble with the verification process, I'm following the instructions but its still failing."/>
    <s v="undefined"/>
    <x v="19"/>
    <s v="undefined"/>
    <s v="to clarify question"/>
    <s v="client has verification issues and needs to clarify question"/>
  </r>
  <r>
    <n v="142177"/>
    <d v="2019-10-27T09:38:06"/>
    <s v="Hello bigyan niyo po ako ng 100,000 na diamond sa ml"/>
    <s v="undefined"/>
    <x v="5"/>
    <s v="undefined"/>
    <s v="to repeat question in english"/>
    <s v="client and needs to repeat question in english"/>
  </r>
  <r>
    <n v="140553"/>
    <d v="2019-10-27T08:40:19"/>
    <s v="Pls. Can i guestion only! How much my money save to your bank? Coming to forex."/>
    <s v="account"/>
    <x v="5"/>
    <s v="undefined"/>
    <s v="to clarify question"/>
    <s v="client account and needs to clarify question"/>
  </r>
  <r>
    <n v="142137"/>
    <d v="2019-10-27T07:22:58"/>
    <s v="Hi, I opened the account using my married name but my passport is till in my maiden name. Where should I upload my marriage certificate as proof?"/>
    <s v="credentials"/>
    <x v="20"/>
    <s v="update"/>
    <s v="instructions"/>
    <s v="client id in maiden name account in married name credentials because of update and needs instructions"/>
  </r>
  <r>
    <n v="142044"/>
    <d v="2019-10-27T06:01:13"/>
    <s v="with  my  address  i  can  change?"/>
    <s v="credentials"/>
    <x v="5"/>
    <s v="update"/>
    <s v="instructions"/>
    <s v="client credentials because of update and needs instructions"/>
  </r>
  <r>
    <n v="140686"/>
    <d v="2019-10-27T05:57:50"/>
    <s v="Hi I just want to get an update regarding my application"/>
    <s v="account"/>
    <x v="7"/>
    <s v="pending process"/>
    <s v="status"/>
    <s v="client awaits activation account because of pending process and needs status"/>
  </r>
  <r>
    <n v="140632"/>
    <d v="2019-10-27T05:02:37"/>
    <s v="Sir plsss _x000a_help me dis apps"/>
    <s v="undefined"/>
    <x v="5"/>
    <s v="undefined"/>
    <s v=" a welcome reply"/>
    <s v="client and needs  a welcome reply"/>
  </r>
  <r>
    <n v="141591"/>
    <d v="2019-10-26T22:52:12"/>
    <s v="i only have postal id"/>
    <s v="credentials"/>
    <x v="14"/>
    <s v="missing required credentials"/>
    <s v="instructions"/>
    <s v="client wants to submit different id credentials because of missing required credentials and needs instructions"/>
  </r>
  <r>
    <n v="159916"/>
    <d v="2019-10-26T06:18:37"/>
    <s v="How if i dont have id..my id is only voters id"/>
    <s v="credentials"/>
    <x v="14"/>
    <s v="missing required credentials"/>
    <s v="instructions"/>
    <s v="client wants to submit different id credentials because of missing required credentials and needs instructions"/>
  </r>
  <r>
    <n v="160939"/>
    <d v="2019-10-26T04:51:28"/>
    <s v="Hi Alistair. Chatted with Raj earlier but the session ended. Raj already assisted me earlier. Thank you."/>
    <s v="undefined"/>
    <x v="5"/>
    <s v="disconnected dialogue"/>
    <s v="to clarify question"/>
    <s v="client because of disconnected dialogue and needs to clarify question"/>
  </r>
  <r>
    <n v="159251"/>
    <d v="2019-10-26T01:03:57"/>
    <s v="Where is my referral code here"/>
    <s v="undefined"/>
    <x v="21"/>
    <s v="missing verification"/>
    <s v="to clarify question"/>
    <s v="client missing referral code because of missing verification and needs to clarify question"/>
  </r>
  <r>
    <n v="200147"/>
    <d v="2019-10-25T15:26:55"/>
    <s v="I dont have identification cards"/>
    <s v="credentials"/>
    <x v="14"/>
    <s v="missing required credentials"/>
    <s v="instructions"/>
    <s v="client wants to submit different id credentials because of missing required credentials and needs instructions"/>
  </r>
  <r>
    <n v="200432"/>
    <d v="2019-10-25T11:32:23"/>
    <s v="please update my profile, i already edit my profile. i cant transfer to my bank account."/>
    <s v="account"/>
    <x v="7"/>
    <s v="update"/>
    <s v="status"/>
    <s v="client awaits activation account because of update and needs status"/>
  </r>
  <r>
    <n v="199735"/>
    <d v="2019-10-25T10:23:44"/>
    <s v="How do I transfer to my account via online banking of a different bank"/>
    <s v="payment"/>
    <x v="22"/>
    <s v="undefined"/>
    <s v="instructions"/>
    <s v="client wants to do bank-bank transfer payment and needs instructions"/>
  </r>
  <r>
    <n v="200138"/>
    <d v="2019-10-25T08:37:30"/>
    <s v="Please check the newly uploaded photo of billing statement"/>
    <s v="account"/>
    <x v="5"/>
    <s v="update"/>
    <s v="check credentials"/>
    <s v="client account because of update and needs check credentials"/>
  </r>
  <r>
    <n v="200043"/>
    <d v="2019-10-25T08:27:31"/>
    <s v="n/a"/>
    <s v="undefined"/>
    <x v="5"/>
    <s v="undefined"/>
    <s v=" a welcome reply"/>
    <s v="client and needs  a welcome reply"/>
  </r>
  <r>
    <n v="199139"/>
    <d v="2019-10-25T05:19:27"/>
    <s v="Why i dont receive sms verification number?"/>
    <s v="payment"/>
    <x v="23"/>
    <s v="missing verification"/>
    <s v="check sms"/>
    <s v="client missing sms verification payment because of missing verification and needs check sms"/>
  </r>
  <r>
    <n v="200803"/>
    <d v="2019-10-25T01:11:40"/>
    <s v="would like to know when it will appear in my CIMB the money i transferred last  night"/>
    <s v="payment"/>
    <x v="1"/>
    <s v="pending process"/>
    <s v="status"/>
    <s v="client not received payment because of pending process and needs status"/>
  </r>
  <r>
    <n v="183471"/>
    <d v="2019-10-24T16:44:11"/>
    <s v="hi are philhealth id are ok ?"/>
    <s v="credentials"/>
    <x v="14"/>
    <s v="missing required credentials"/>
    <s v="instructions"/>
    <s v="client wants to submit different id credentials because of missing required credentials and needs instructions"/>
  </r>
  <r>
    <n v="182928"/>
    <d v="2019-10-24T09:53:18"/>
    <s v="Pano naging mali address ko. Activated na ito kanina pag registered ko."/>
    <s v="undefined"/>
    <x v="5"/>
    <s v="undefined"/>
    <s v="to repeat question in english"/>
    <s v="client and needs to repeat question in english"/>
  </r>
  <r>
    <n v="182134"/>
    <d v="2019-10-24T07:44:18"/>
    <s v="Is a maintaining balance required?"/>
    <s v="account"/>
    <x v="24"/>
    <s v="undefined"/>
    <s v="information"/>
    <s v="client wants to know the minimum balance account and needs information"/>
  </r>
  <r>
    <n v="182879"/>
    <d v="2019-10-24T05:07:58"/>
    <s v="I recently moved in to a new home. My account takes too long to verify mu new address so I edited mynprofile and reverted back to my old address as reflected in my ID. Please verify my account soon. Its been more than a week. Thank you."/>
    <s v="account"/>
    <x v="7"/>
    <s v="update"/>
    <s v="status"/>
    <s v="client awaits activation account because of update and needs status"/>
  </r>
  <r>
    <n v="181340"/>
    <d v="2019-10-24T04:35:37"/>
    <s v="Naka I lang ulit na magpasa puro failed"/>
    <s v="undefined"/>
    <x v="5"/>
    <s v="undefined"/>
    <s v="to repeat question in english"/>
    <s v="client and needs to repeat question in english"/>
  </r>
  <r>
    <n v="183335"/>
    <d v="2019-10-23T22:15:31"/>
    <s v="how to take bank to bank deposit?"/>
    <s v="payment"/>
    <x v="18"/>
    <s v="undefined"/>
    <s v="instructions"/>
    <s v="client wants to do bank-bank deposit payment and needs instructions"/>
  </r>
  <r>
    <n v="185590"/>
    <d v="2019-10-23T02:27:04"/>
    <s v="Hello. I'd like to follow up on the activation of my account."/>
    <s v="account"/>
    <x v="7"/>
    <s v="pending process"/>
    <s v="status"/>
    <s v="client awaits activation account because of pending process and needs status"/>
  </r>
  <r>
    <n v="198228"/>
    <d v="2019-10-22T11:50:33"/>
    <s v="Say if my name is Ma. Cristina and someone issues me a cheque that says Ma Cristina. Will it be a problem?"/>
    <s v="payment"/>
    <x v="25"/>
    <s v="undefined"/>
    <s v="information"/>
    <s v="client mismatch names payment and needs information"/>
  </r>
  <r>
    <n v="196546"/>
    <d v="2019-10-22T04:42:38"/>
    <s v="Could you kindly advice what exact time my deposit via INSTAPAY was credited to my account yesterday?"/>
    <s v="payment"/>
    <x v="1"/>
    <s v="pending process"/>
    <s v="status"/>
    <s v="client not received payment because of pending process and needs status"/>
  </r>
  <r>
    <n v="197936"/>
    <d v="2019-10-22T00:17:12"/>
    <s v="Hi! How do you withdraw money via ATM?"/>
    <s v="payment"/>
    <x v="26"/>
    <s v="undefined"/>
    <s v="instructions"/>
    <s v="client wants to withdraw via ATM payment and needs instructions"/>
  </r>
  <r>
    <n v="162080"/>
    <d v="2019-10-21T07:21:56"/>
    <s v="Deposit has been rejected twice already. 3x i lost your chat support. Once and for all, may i get a decent help, do you not accept an MC for deposit??"/>
    <s v="payment"/>
    <x v="27"/>
    <s v="undefined"/>
    <s v="reason for rejection"/>
    <s v="client rejected MC deposit payment and needs reason for rejection"/>
  </r>
  <r>
    <n v="161833"/>
    <d v="2019-10-21T05:45:42"/>
    <s v="Hi"/>
    <s v="starts dialogue"/>
    <x v="5"/>
    <s v="undefined"/>
    <s v="a welcome reply"/>
    <s v="client starts dialogue and needs a welcome reply"/>
  </r>
  <r>
    <n v="136553"/>
    <d v="2019-10-20T18:40:31"/>
    <s v="Hi! My account is still not yet activated it's been 2 weeks,  kindly confirm thank you!"/>
    <s v="account"/>
    <x v="7"/>
    <s v="pending process"/>
    <s v="status"/>
    <s v="client awaits activation account because of pending process and needs status"/>
  </r>
  <r>
    <n v="137185"/>
    <d v="2019-10-20T18:35:00"/>
    <s v="I wast disconnected"/>
    <s v="undefined"/>
    <x v="5"/>
    <s v="disconnected dialogue"/>
    <s v="to clarify question"/>
    <s v="client because of disconnected dialogue and needs to clarify question"/>
  </r>
  <r>
    <n v="136379"/>
    <d v="2019-10-20T16:53:05"/>
    <s v="I don't know my pass coad"/>
    <s v="account"/>
    <x v="8"/>
    <s v="lost credentials"/>
    <s v="instructions"/>
    <s v="client fails to login account because of lost credentials and needs instructions"/>
  </r>
  <r>
    <n v="137604"/>
    <d v="2019-10-20T15:59:51"/>
    <s v="Ot won't recognize my face and taking so long"/>
    <s v="undefined"/>
    <x v="28"/>
    <s v="undefined"/>
    <s v="instructions"/>
    <s v="client fails face identification and needs instructions"/>
  </r>
  <r>
    <n v="158814"/>
    <d v="2019-10-19T21:37:15"/>
    <s v="Test. Good morning!"/>
    <s v="starts dialogue"/>
    <x v="5"/>
    <s v="undefined"/>
    <s v="a welcome reply"/>
    <s v="client starts dialogue and needs a welcome reply"/>
  </r>
  <r>
    <n v="158767"/>
    <d v="2019-10-19T13:14:59"/>
    <s v="Hi, I want to open an account using my married name but my passport and driver’s license are still in my maiden name. I tried my driver’s license but verification failed. The only ID that I have in my married name is my work ID."/>
    <s v="credentials"/>
    <x v="20"/>
    <s v="update"/>
    <s v="instructions"/>
    <s v="client id in maiden name account in married name credentials because of update and needs instructions"/>
  </r>
  <r>
    <n v="158709"/>
    <d v="2019-10-19T09:40:27"/>
    <s v="i have a problem with one of my transfers"/>
    <s v="payment"/>
    <x v="29"/>
    <s v="undefined"/>
    <s v="to clarify question"/>
    <s v="client fails to transfer payment and needs to clarify question"/>
  </r>
  <r>
    <n v="138102"/>
    <d v="2019-10-18T18:22:43"/>
    <s v="How long it takes to transfer fund in BDO account bank?"/>
    <s v="payment"/>
    <x v="30"/>
    <s v="undefined"/>
    <s v="information"/>
    <s v="client process time payment and needs information"/>
  </r>
  <r>
    <n v="138602"/>
    <d v="2019-10-18T14:16:47"/>
    <s v="gusto ko lang po magtanong kung nahuhulugan po ba yung sss ko salamat po"/>
    <s v="undefined"/>
    <x v="5"/>
    <s v="undefined"/>
    <s v="to repeat question in english"/>
    <s v="client and needs to repeat question in english"/>
  </r>
  <r>
    <n v="139949"/>
    <d v="2019-10-18T07:46:59"/>
    <s v="theres something wrong in my update addresd it cannot proceed to next step"/>
    <s v="credentials"/>
    <x v="16"/>
    <s v="update"/>
    <s v="instructions"/>
    <s v="client wrong credentials credentials because of update and needs instructions"/>
  </r>
  <r>
    <n v="139152"/>
    <d v="2019-10-18T03:52:56"/>
    <s v="Hi"/>
    <s v="starts dialogue"/>
    <x v="5"/>
    <s v="undefined"/>
    <s v="a welcome reply"/>
    <s v="client starts dialogue and needs a welcome reply"/>
  </r>
  <r>
    <n v="139331"/>
    <d v="2019-10-18T00:31:02"/>
    <s v="Now my problem is that the money is deducted from my citi bank account and it is not being reflected in my account here"/>
    <s v="payment"/>
    <x v="1"/>
    <s v="pending process"/>
    <s v="status"/>
    <s v="client not received payment because of pending process and needs status"/>
  </r>
  <r>
    <n v="153994"/>
    <d v="2019-10-17T17:33:47"/>
    <s v="n/a"/>
    <s v="undefined"/>
    <x v="5"/>
    <s v="undefined"/>
    <s v=" a welcome reply"/>
    <s v="client and needs  a welcome reply"/>
  </r>
  <r>
    <n v="153172"/>
    <d v="2019-10-17T15:36:26"/>
    <s v="Hey arc"/>
    <s v="starts dialogue"/>
    <x v="5"/>
    <s v="undefined"/>
    <s v="a welcome reply"/>
    <s v="client starts dialogue and needs a welcome reply"/>
  </r>
  <r>
    <n v="153296"/>
    <d v="2019-10-17T13:33:59"/>
    <s v="hi, why don't i have an acct number?"/>
    <s v="account"/>
    <x v="31"/>
    <s v="missing account number"/>
    <s v="to clarify question"/>
    <s v="client missing account number account because of missing account number and needs to clarify question"/>
  </r>
  <r>
    <n v="155013"/>
    <d v="2019-10-17T10:48:46"/>
    <s v="Hi"/>
    <s v="starts dialogue"/>
    <x v="5"/>
    <s v="undefined"/>
    <s v="a welcome reply"/>
    <s v="client starts dialogue and needs a welcome reply"/>
  </r>
  <r>
    <n v="152753"/>
    <d v="2019-10-17T06:19:50"/>
    <s v="Hello"/>
    <s v="starts dialogue"/>
    <x v="5"/>
    <s v="undefined"/>
    <s v="a welcome reply"/>
    <s v="client starts dialogue and needs a welcome reply"/>
  </r>
  <r>
    <n v="153167"/>
    <d v="2019-10-17T05:59:39"/>
    <s v="Your virifecation code not working"/>
    <s v="undefined"/>
    <x v="19"/>
    <s v="undefined"/>
    <s v="to clarify question"/>
    <s v="client has verification issues and needs to clarify question"/>
  </r>
  <r>
    <n v="148755"/>
    <d v="2019-10-16T21:35:59"/>
    <s v="How to make it password??"/>
    <s v="account"/>
    <x v="8"/>
    <s v="lost credentials"/>
    <s v="instructions"/>
    <s v="client fails to login account because of lost credentials and needs instructions"/>
  </r>
  <r>
    <n v="149655"/>
    <d v="2019-10-16T11:32:22"/>
    <s v="For loan"/>
    <s v="undefined"/>
    <x v="5"/>
    <s v="undefined"/>
    <s v="to clarify question"/>
    <s v="client and needs to clarify question"/>
  </r>
  <r>
    <n v="147980"/>
    <d v="2019-10-16T09:16:28"/>
    <s v="How to update billing address"/>
    <s v="credentials"/>
    <x v="5"/>
    <s v="update"/>
    <s v="instructions"/>
    <s v="client credentials because of update and needs instructions"/>
  </r>
  <r>
    <n v="148677"/>
    <d v="2019-10-16T07:24:07"/>
    <s v="I don't remember my passcode"/>
    <s v="account"/>
    <x v="8"/>
    <s v="lost credentials"/>
    <s v="instructions"/>
    <s v="client fails to login account because of lost credentials and needs instructions"/>
  </r>
  <r>
    <n v="148316"/>
    <d v="2019-10-16T03:35:13"/>
    <s v="Hi there, _x000a_how is my application? Thanks"/>
    <s v="account"/>
    <x v="7"/>
    <s v="pending process"/>
    <s v="status"/>
    <s v="client awaits activation account because of pending process and needs status"/>
  </r>
  <r>
    <n v="188593"/>
    <d v="2019-10-15T16:07:52"/>
    <s v="Sss id lng po government id ko"/>
    <s v="undefined"/>
    <x v="5"/>
    <s v="undefined"/>
    <s v="to repeat question in english"/>
    <s v="client and needs to repeat question in english"/>
  </r>
  <r>
    <n v="187610"/>
    <d v="2019-10-15T07:09:29"/>
    <s v="Hello"/>
    <s v="starts dialogue"/>
    <x v="5"/>
    <s v="undefined"/>
    <s v="a welcome reply"/>
    <s v="client starts dialogue and needs a welcome reply"/>
  </r>
  <r>
    <n v="187556"/>
    <d v="2019-10-15T05:36:34"/>
    <s v="My account is still in verification I cant transfer money"/>
    <s v="account"/>
    <x v="7"/>
    <s v="pending process"/>
    <s v="status"/>
    <s v="client awaits activation account because of pending process and needs status"/>
  </r>
  <r>
    <n v="186661"/>
    <d v="2019-10-15T03:51:05"/>
    <s v="Can i use another id for verification?"/>
    <s v="credentials"/>
    <x v="14"/>
    <s v="missing required credentials"/>
    <s v="instructions"/>
    <s v="client wants to submit different id credentials because of missing required credentials and needs instructions"/>
  </r>
  <r>
    <n v="194982"/>
    <d v="2019-10-14T13:58:31"/>
    <s v="Yes"/>
    <s v="undefined"/>
    <x v="5"/>
    <s v="undefined"/>
    <s v="to clarify question"/>
    <s v="client and needs to clarify question"/>
  </r>
  <r>
    <n v="195074"/>
    <d v="2019-10-14T13:29:01"/>
    <s v="I'm submitting my edited address but it always says &quot;something went wrong&quot;"/>
    <s v="credentials"/>
    <x v="16"/>
    <s v="update"/>
    <s v="instructions"/>
    <s v="client wrong credentials credentials because of update and needs instructions"/>
  </r>
  <r>
    <n v="195177"/>
    <d v="2019-10-14T13:02:00"/>
    <s v="ING any update about my concerns... Please"/>
    <s v="undefined"/>
    <x v="5"/>
    <s v="undefined"/>
    <s v="to clarify question"/>
    <s v="client and needs to clarify question"/>
  </r>
  <r>
    <n v="193540"/>
    <d v="2019-10-14T10:45:36"/>
    <s v="Hi"/>
    <s v="starts dialogue"/>
    <x v="5"/>
    <s v="undefined"/>
    <s v="a welcome reply"/>
    <s v="client starts dialogue and needs a welcome reply"/>
  </r>
  <r>
    <n v="194396"/>
    <d v="2019-10-14T08:18:55"/>
    <s v="I want to replace my driver's license which just renewed last month."/>
    <s v="credentials"/>
    <x v="32"/>
    <s v="renewal"/>
    <s v="instructions"/>
    <s v="client update new id credentials because of renewal and needs instructions"/>
  </r>
  <r>
    <n v="192759"/>
    <d v="2019-10-14T06:29:07"/>
    <s v="Hi, why is my deposit via gcash not yet reflected in my account"/>
    <s v="payment"/>
    <x v="1"/>
    <s v="pending process"/>
    <s v="status"/>
    <s v="client not received payment because of pending process and needs status"/>
  </r>
  <r>
    <n v="193969"/>
    <d v="2019-10-14T05:52:03"/>
    <s v="What do I do with the physical Check after I ddeposit?"/>
    <s v="payment"/>
    <x v="11"/>
    <s v="undefined"/>
    <s v="instructions"/>
    <s v="client wants to deposit payment and needs instructions"/>
  </r>
  <r>
    <n v="194353"/>
    <d v="2019-10-14T00:42:07"/>
    <s v="Hello"/>
    <s v="starts dialogue"/>
    <x v="5"/>
    <s v="undefined"/>
    <s v="a welcome reply"/>
    <s v="client starts dialogue and needs a welcome reply"/>
  </r>
  <r>
    <n v="191027"/>
    <d v="2019-10-13T21:39:46"/>
    <s v="Hello there"/>
    <s v="starts dialogue"/>
    <x v="5"/>
    <s v="undefined"/>
    <s v="a welcome reply"/>
    <s v="client starts dialogue and needs a welcome reply"/>
  </r>
  <r>
    <n v="190465"/>
    <d v="2019-10-12T17:19:22"/>
    <s v="Hi ive transfer 5000 thru my BPI account using my ING, Till now no one has come to my BPI ACCOUNT"/>
    <s v="payment"/>
    <x v="1"/>
    <s v="pending process"/>
    <s v="status"/>
    <s v="client not received payment because of pending process and needs status"/>
  </r>
  <r>
    <n v="190206"/>
    <d v="2019-10-12T08:09:40"/>
    <s v="how to loan?"/>
    <s v="loan"/>
    <x v="33"/>
    <s v="undefined"/>
    <s v="instructions"/>
    <s v="client wants to loan loan and needs instructions"/>
  </r>
  <r>
    <n v="144153"/>
    <d v="2019-10-11T04:44:20"/>
    <s v="My legal name is already updated"/>
    <s v="account"/>
    <x v="5"/>
    <s v="update"/>
    <s v="instructions"/>
    <s v="client account because of update and needs instructions"/>
  </r>
  <r>
    <n v="158086"/>
    <d v="2019-10-10T21:50:15"/>
    <s v="Hello!"/>
    <s v="starts dialogue"/>
    <x v="5"/>
    <s v="undefined"/>
    <s v="a welcome reply"/>
    <s v="client starts dialogue and needs a welcome reply"/>
  </r>
  <r>
    <n v="157415"/>
    <d v="2019-10-10T18:41:31"/>
    <s v="Hi there!"/>
    <s v="starts dialogue"/>
    <x v="5"/>
    <s v="undefined"/>
    <s v="a welcome reply"/>
    <s v="client starts dialogue and needs a welcome reply"/>
  </r>
  <r>
    <n v="155805"/>
    <d v="2019-10-10T13:57:28"/>
    <s v="How long it will take for my account to be activated. Been waiting for so long to transfer funds"/>
    <s v="account"/>
    <x v="7"/>
    <s v="pending process"/>
    <s v="status"/>
    <s v="client awaits activation account because of pending process and needs status"/>
  </r>
  <r>
    <n v="156459"/>
    <d v="2019-10-10T08:35:30"/>
    <s v="How many hours that my ING account  be Credited From Coins.ph transfered?"/>
    <s v="payment"/>
    <x v="30"/>
    <s v="undefined"/>
    <s v="information"/>
    <s v="client process time payment and needs information"/>
  </r>
  <r>
    <n v="157205"/>
    <d v="2019-10-10T05:41:46"/>
    <s v="I want to transfer from metrobank to ing through mobile, but the metrobank app is asking for a 13 digit account number and i only have 12 digits"/>
    <s v="payment"/>
    <x v="34"/>
    <s v="undefined"/>
    <s v="instructions"/>
    <s v="client mismatch account number payment and needs instructions"/>
  </r>
  <r>
    <n v="156274"/>
    <d v="2019-10-10T05:31:54"/>
    <s v="hello"/>
    <s v="starts dialogue"/>
    <x v="5"/>
    <s v="undefined"/>
    <s v="a welcome reply"/>
    <s v="client starts dialogue and needs a welcome reply"/>
  </r>
  <r>
    <n v="155088"/>
    <d v="2019-10-10T05:25:56"/>
    <s v="Ang kamag anak kung c jessica aquino ramos (late) ay may naiwan na acc. Gusto ko po sana buksan itu para saakin dahil patay na po siya"/>
    <s v="undefined"/>
    <x v="5"/>
    <s v="undefined"/>
    <s v="to repeat question in english"/>
    <s v="client and needs to repeat question in english"/>
  </r>
  <r>
    <n v="157245"/>
    <d v="2019-10-10T04:22:03"/>
    <s v="Yes"/>
    <s v="undefined"/>
    <x v="5"/>
    <s v="undefined"/>
    <s v="to clarify question"/>
    <s v="client and needs to clarify question"/>
  </r>
  <r>
    <n v="155876"/>
    <d v="2019-10-10T03:54:55"/>
    <s v="Hello"/>
    <s v="starts dialogue"/>
    <x v="5"/>
    <s v="undefined"/>
    <s v="a welcome reply"/>
    <s v="client starts dialogue and needs a welcome reply"/>
  </r>
  <r>
    <n v="157572"/>
    <d v="2019-10-10T00:35:17"/>
    <s v="How long will it take if i transfer back money to my other bank acct?"/>
    <s v="payment"/>
    <x v="30"/>
    <s v="undefined"/>
    <s v="information"/>
    <s v="client process time payment and needs information"/>
  </r>
  <r>
    <n v="168793"/>
    <d v="2019-10-09T16:22:58"/>
    <s v="What if my Id is not listed as one of the ids you are requesting?"/>
    <s v="credentials"/>
    <x v="14"/>
    <s v="missing required credentials"/>
    <s v="instructions"/>
    <s v="client wants to submit different id credentials because of missing required credentials and needs instructions"/>
  </r>
  <r>
    <n v="169089"/>
    <d v="2019-10-09T13:23:21"/>
    <s v="Hi. I initiated an InstaPay bank transfer for PHP 7,151.52 from my GCash wallet to my ING Bank account yesterday, 8 October 2019 at exactly 2:01pm. The funds have not yet been credited to my ING account. GCash advised me to check with you, ING, about it and give you ticket number 257953 from their confirmation page. Can you check what is going on?"/>
    <s v="payment"/>
    <x v="1"/>
    <s v="pending process"/>
    <s v="status"/>
    <s v="client not received payment because of pending process and needs status"/>
  </r>
  <r>
    <n v="168726"/>
    <d v="2019-10-09T13:05:37"/>
    <s v="Hi why is still my application still in progress? What is the status of it?"/>
    <s v="account"/>
    <x v="7"/>
    <s v="pending process"/>
    <s v="status"/>
    <s v="client awaits activation account because of pending process and needs status"/>
  </r>
  <r>
    <n v="167786"/>
    <d v="2019-10-09T12:50:52"/>
    <s v="hi"/>
    <s v="starts dialogue"/>
    <x v="5"/>
    <s v="undefined"/>
    <s v="a welcome reply"/>
    <s v="client starts dialogue and needs a welcome reply"/>
  </r>
  <r>
    <n v="168278"/>
    <d v="2019-10-09T10:55:24"/>
    <s v="Is there another way to put in money other than check?"/>
    <s v="payment"/>
    <x v="11"/>
    <s v="undefined"/>
    <s v="instructions"/>
    <s v="client wants to deposit payment and needs instructions"/>
  </r>
  <r>
    <n v="168568"/>
    <d v="2019-10-08T23:23:37"/>
    <s v="I got disconnected with Kara"/>
    <s v="undefined"/>
    <x v="5"/>
    <s v="disconnected dialogue"/>
    <s v="to clarify question"/>
    <s v="client because of disconnected dialogue and needs to clarify question"/>
  </r>
  <r>
    <n v="176892"/>
    <d v="2019-10-08T10:59:35"/>
    <s v="Twst"/>
    <s v="undefined"/>
    <x v="5"/>
    <s v="undefined"/>
    <s v="to clarify question"/>
    <s v="client and needs to clarify question"/>
  </r>
  <r>
    <n v="176342"/>
    <d v="2019-10-07T23:05:08"/>
    <s v="What if I don't have a document or passport? What should I do?"/>
    <s v="credentials"/>
    <x v="14"/>
    <s v="missing required credentials"/>
    <s v="instructions"/>
    <s v="client wants to submit different id credentials because of missing required credentials and needs instructions"/>
  </r>
  <r>
    <n v="166390"/>
    <d v="2019-10-07T16:54:12"/>
    <s v="Hi! My account is temporarily limited because my address does not match. Can you help me with this? I already matched my address but my account is not yet activated. I really need to make a transaction today."/>
    <s v="account"/>
    <x v="16"/>
    <s v="update"/>
    <s v="status"/>
    <s v="client wrong credentials account because of update and needs status"/>
  </r>
  <r>
    <n v="164028"/>
    <d v="2019-10-06T23:06:40"/>
    <s v="Hi, can I request for a bank certificate? If yes, how?"/>
    <s v="undefined"/>
    <x v="35"/>
    <s v="undefined"/>
    <s v="instructions"/>
    <s v="client needs bank certificate and needs instructions"/>
  </r>
  <r>
    <n v="179875"/>
    <d v="2019-10-06T14:00:14"/>
    <s v="My transfer button is greyed out"/>
    <s v="payment"/>
    <x v="29"/>
    <s v="undefined"/>
    <s v="to clarify question"/>
    <s v="client fails to transfer payment and needs to clarify question"/>
  </r>
  <r>
    <n v="179525"/>
    <d v="2019-10-06T12:10:26"/>
    <s v="How long does it take to transfer money from ING to BDO?"/>
    <s v="payment"/>
    <x v="30"/>
    <s v="undefined"/>
    <s v="information"/>
    <s v="client process time payment and needs information"/>
  </r>
  <r>
    <n v="180591"/>
    <d v="2019-10-05T22:23:53"/>
    <s v="Hi, I submitted my application to open an account back in August however when I open the app it says that my application is being processed. How long would it take to process my application?"/>
    <s v="account"/>
    <x v="7"/>
    <s v="pending process"/>
    <s v="status"/>
    <s v="client awaits activation account because of pending process and needs status"/>
  </r>
  <r>
    <n v="131133"/>
    <d v="2019-10-04T18:06:25"/>
    <s v="My email?"/>
    <s v="undefined"/>
    <x v="5"/>
    <s v="undefined"/>
    <s v="to clarify question"/>
    <s v="client and needs to clarify question"/>
  </r>
  <r>
    <n v="130515"/>
    <d v="2019-10-04T17:06:07"/>
    <s v="Hi! How do I change my email address here? I want to use my Outlook email instead of Gmail that I’m using now"/>
    <s v="credentials"/>
    <x v="5"/>
    <s v="update"/>
    <s v="instructions"/>
    <s v="client credentials because of update and needs instructions"/>
  </r>
  <r>
    <n v="129816"/>
    <d v="2019-10-04T14:39:57"/>
    <s v="cant open my acct"/>
    <s v="account"/>
    <x v="36"/>
    <s v="undefined"/>
    <s v="to clarify question"/>
    <s v="client fails to open account and needs to clarify question"/>
  </r>
  <r>
    <n v="130506"/>
    <d v="2019-10-04T10:25:55"/>
    <s v="I forgot my pin can you help me pls."/>
    <s v="account"/>
    <x v="8"/>
    <s v="lost credentials"/>
    <s v="instructions"/>
    <s v="client fails to login account because of lost credentials and needs instructions"/>
  </r>
  <r>
    <n v="129755"/>
    <d v="2019-10-04T10:14:37"/>
    <s v="I already uploaded updated proof of address"/>
    <s v="credentials"/>
    <x v="5"/>
    <s v="update"/>
    <s v="instructions"/>
    <s v="client credentials because of update and needs instructions"/>
  </r>
  <r>
    <n v="131560"/>
    <d v="2019-10-04T07:37:24"/>
    <s v="I'm not id"/>
    <s v="undefined"/>
    <x v="5"/>
    <s v="undefined"/>
    <s v="to clarify question"/>
    <s v="client and needs to clarify question"/>
  </r>
  <r>
    <n v="131214"/>
    <d v="2019-10-04T07:27:49"/>
    <s v="how much is the minimum deposit to open an account?"/>
    <s v="account"/>
    <x v="37"/>
    <s v="undefined"/>
    <s v="information"/>
    <s v="client wants to know the minimum deposit account and needs information"/>
  </r>
  <r>
    <n v="126612"/>
    <d v="2019-10-03T19:52:45"/>
    <s v="n/a"/>
    <s v="undefined"/>
    <x v="5"/>
    <s v="undefined"/>
    <s v=" a welcome reply"/>
    <s v="client and needs  a welcome reply"/>
  </r>
  <r>
    <n v="126473"/>
    <d v="2019-10-03T16:03:03"/>
    <s v="Hi.i just wanted to check the status of my account? I recently opened an account and have resubmitted the proof of billing as the first  submission was blurred..can you please confirm when this will be activated?"/>
    <s v="account"/>
    <x v="7"/>
    <s v="update"/>
    <s v="status"/>
    <s v="client awaits activation account because of update and needs status"/>
  </r>
  <r>
    <n v="129107"/>
    <d v="2019-10-03T11:21:35"/>
    <s v="Civil service exam result october 3 2019"/>
    <s v="undefined"/>
    <x v="5"/>
    <s v="undefined"/>
    <s v="to clarify question"/>
    <s v="client and needs to clarify question"/>
  </r>
  <r>
    <n v="127286"/>
    <d v="2019-10-03T07:34:07"/>
    <s v="I have updated my profile for account verification."/>
    <s v="account"/>
    <x v="5"/>
    <s v="update"/>
    <s v="status"/>
    <s v="client account because of update and needs status"/>
  </r>
  <r>
    <n v="126454"/>
    <d v="2019-10-03T03:14:22"/>
    <s v="I have not received the money I transferred last night to BPI. Can you please check"/>
    <s v="payment"/>
    <x v="1"/>
    <s v="pending process"/>
    <s v="status"/>
    <s v="client not received payment because of pending process and needs status"/>
  </r>
  <r>
    <n v="127138"/>
    <d v="2019-10-03T00:10:54"/>
    <s v="For check deposit, can i deposit a check to my account with payee name 'cash'?"/>
    <s v="payment"/>
    <x v="38"/>
    <s v="undefined"/>
    <s v="instructions"/>
    <s v="client wants to do check deposit payment and needs instructions"/>
  </r>
  <r>
    <n v="135510"/>
    <d v="2019-10-02T20:59:42"/>
    <s v="How long is the processing when i perform cheque deposit on my account?"/>
    <s v="payment"/>
    <x v="30"/>
    <s v="undefined"/>
    <s v="information"/>
    <s v="client process time payment and needs information"/>
  </r>
  <r>
    <n v="135660"/>
    <d v="2019-10-02T10:07:48"/>
    <s v="Hi. I would like to ask if my account is still active. Thanks!"/>
    <s v="account"/>
    <x v="7"/>
    <s v="pending process"/>
    <s v="status"/>
    <s v="client awaits activation account because of pending process and needs status"/>
  </r>
  <r>
    <n v="133919"/>
    <d v="2019-10-02T06:53:15"/>
    <s v="n/a"/>
    <s v="undefined"/>
    <x v="5"/>
    <s v="undefined"/>
    <s v=" a welcome reply"/>
    <s v="client and needs  a welcome reply"/>
  </r>
  <r>
    <m/>
    <m/>
    <m/>
    <m/>
    <x v="39"/>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1F15832-975A-7D4E-AF7B-E74B0DD5F4ED}" name="PivotTable2" cacheId="6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44" firstHeaderRow="1" firstDataRow="1" firstDataCol="1"/>
  <pivotFields count="8">
    <pivotField showAll="0"/>
    <pivotField dataField="1" showAll="0"/>
    <pivotField showAll="0"/>
    <pivotField showAll="0"/>
    <pivotField axis="axisRow" showAll="0">
      <items count="44">
        <item x="4"/>
        <item x="28"/>
        <item x="3"/>
        <item x="8"/>
        <item x="36"/>
        <item x="0"/>
        <item x="29"/>
        <item x="19"/>
        <item x="20"/>
        <item x="34"/>
        <item x="25"/>
        <item x="31"/>
        <item x="21"/>
        <item x="23"/>
        <item m="1" x="41"/>
        <item x="1"/>
        <item m="1" x="40"/>
        <item x="30"/>
        <item x="9"/>
        <item x="27"/>
        <item x="12"/>
        <item m="1" x="42"/>
        <item x="5"/>
        <item x="32"/>
        <item x="6"/>
        <item x="10"/>
        <item x="13"/>
        <item x="11"/>
        <item x="18"/>
        <item x="22"/>
        <item x="38"/>
        <item x="17"/>
        <item x="24"/>
        <item x="37"/>
        <item x="33"/>
        <item x="2"/>
        <item x="26"/>
        <item x="16"/>
        <item x="39"/>
        <item x="7"/>
        <item x="14"/>
        <item x="15"/>
        <item x="35"/>
        <item t="default"/>
      </items>
    </pivotField>
    <pivotField showAll="0"/>
    <pivotField showAll="0"/>
    <pivotField showAll="0"/>
  </pivotFields>
  <rowFields count="1">
    <field x="4"/>
  </rowFields>
  <rowItems count="41">
    <i>
      <x/>
    </i>
    <i>
      <x v="1"/>
    </i>
    <i>
      <x v="2"/>
    </i>
    <i>
      <x v="3"/>
    </i>
    <i>
      <x v="4"/>
    </i>
    <i>
      <x v="5"/>
    </i>
    <i>
      <x v="6"/>
    </i>
    <i>
      <x v="7"/>
    </i>
    <i>
      <x v="8"/>
    </i>
    <i>
      <x v="9"/>
    </i>
    <i>
      <x v="10"/>
    </i>
    <i>
      <x v="11"/>
    </i>
    <i>
      <x v="12"/>
    </i>
    <i>
      <x v="13"/>
    </i>
    <i>
      <x v="15"/>
    </i>
    <i>
      <x v="17"/>
    </i>
    <i>
      <x v="18"/>
    </i>
    <i>
      <x v="19"/>
    </i>
    <i>
      <x v="20"/>
    </i>
    <i>
      <x v="22"/>
    </i>
    <i>
      <x v="23"/>
    </i>
    <i>
      <x v="24"/>
    </i>
    <i>
      <x v="25"/>
    </i>
    <i>
      <x v="26"/>
    </i>
    <i>
      <x v="27"/>
    </i>
    <i>
      <x v="28"/>
    </i>
    <i>
      <x v="29"/>
    </i>
    <i>
      <x v="30"/>
    </i>
    <i>
      <x v="31"/>
    </i>
    <i>
      <x v="32"/>
    </i>
    <i>
      <x v="33"/>
    </i>
    <i>
      <x v="34"/>
    </i>
    <i>
      <x v="35"/>
    </i>
    <i>
      <x v="36"/>
    </i>
    <i>
      <x v="37"/>
    </i>
    <i>
      <x v="38"/>
    </i>
    <i>
      <x v="39"/>
    </i>
    <i>
      <x v="40"/>
    </i>
    <i>
      <x v="41"/>
    </i>
    <i>
      <x v="42"/>
    </i>
    <i t="grand">
      <x/>
    </i>
  </rowItems>
  <colItems count="1">
    <i/>
  </colItems>
  <dataFields count="1">
    <dataField name="Count of timestamp"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7152D4-2A1C-BD4B-9EAD-A14AC76A27D2}"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G55" firstHeaderRow="1" firstDataRow="2" firstDataCol="1"/>
  <pivotFields count="12">
    <pivotField showAll="0"/>
    <pivotField numFmtId="164" showAll="0"/>
    <pivotField showAll="0"/>
    <pivotField axis="axisCol" dataField="1" showAll="0">
      <items count="6">
        <item x="0"/>
        <item x="1"/>
        <item x="2"/>
        <item x="3"/>
        <item x="4"/>
        <item t="default"/>
      </items>
    </pivotField>
    <pivotField showAll="0">
      <items count="4">
        <item x="2"/>
        <item x="1"/>
        <item x="0"/>
        <item t="default"/>
      </items>
    </pivotField>
    <pivotField showAll="0" sortType="ascending">
      <items count="8">
        <item x="6"/>
        <item x="3"/>
        <item x="0"/>
        <item x="5"/>
        <item x="2"/>
        <item x="4"/>
        <item x="1"/>
        <item t="default"/>
      </items>
      <autoSortScope>
        <pivotArea dataOnly="0" outline="0" fieldPosition="0">
          <references count="1">
            <reference field="4294967294" count="1" selected="0">
              <x v="0"/>
            </reference>
          </references>
        </pivotArea>
      </autoSortScope>
    </pivotField>
    <pivotField axis="axisRow" showAll="0">
      <items count="6">
        <item x="2"/>
        <item x="4"/>
        <item x="3"/>
        <item x="1"/>
        <item x="0"/>
        <item t="default"/>
      </items>
    </pivotField>
    <pivotField axis="axisRow" showAll="0">
      <items count="9">
        <item x="3"/>
        <item x="5"/>
        <item x="4"/>
        <item x="6"/>
        <item x="2"/>
        <item x="7"/>
        <item x="1"/>
        <item x="0"/>
        <item t="default"/>
      </items>
    </pivotField>
    <pivotField axis="axisRow" showAll="0">
      <items count="11">
        <item x="7"/>
        <item x="2"/>
        <item x="3"/>
        <item x="4"/>
        <item x="8"/>
        <item x="5"/>
        <item x="9"/>
        <item x="6"/>
        <item x="1"/>
        <item x="0"/>
        <item t="default"/>
      </items>
    </pivotField>
    <pivotField showAll="0"/>
    <pivotField showAll="0"/>
    <pivotField showAll="0"/>
  </pivotFields>
  <rowFields count="3">
    <field x="7"/>
    <field x="8"/>
    <field x="6"/>
  </rowFields>
  <rowItems count="51">
    <i>
      <x/>
    </i>
    <i r="1">
      <x v="9"/>
    </i>
    <i r="2">
      <x v="4"/>
    </i>
    <i>
      <x v="1"/>
    </i>
    <i r="1">
      <x v="9"/>
    </i>
    <i r="2">
      <x v="4"/>
    </i>
    <i>
      <x v="2"/>
    </i>
    <i r="1">
      <x v="9"/>
    </i>
    <i r="2">
      <x v="4"/>
    </i>
    <i>
      <x v="3"/>
    </i>
    <i r="1">
      <x/>
    </i>
    <i r="2">
      <x v="4"/>
    </i>
    <i r="1">
      <x v="2"/>
    </i>
    <i r="2">
      <x v="4"/>
    </i>
    <i r="1">
      <x v="3"/>
    </i>
    <i r="2">
      <x v="4"/>
    </i>
    <i r="1">
      <x v="4"/>
    </i>
    <i r="2">
      <x v="2"/>
    </i>
    <i r="2">
      <x v="4"/>
    </i>
    <i r="1">
      <x v="6"/>
    </i>
    <i r="2">
      <x v="1"/>
    </i>
    <i r="1">
      <x v="7"/>
    </i>
    <i r="2">
      <x v="4"/>
    </i>
    <i r="1">
      <x v="8"/>
    </i>
    <i r="2">
      <x v="3"/>
    </i>
    <i r="1">
      <x v="9"/>
    </i>
    <i r="2">
      <x v="4"/>
    </i>
    <i>
      <x v="4"/>
    </i>
    <i r="1">
      <x v="1"/>
    </i>
    <i r="2">
      <x v="4"/>
    </i>
    <i r="1">
      <x v="2"/>
    </i>
    <i r="2">
      <x v="4"/>
    </i>
    <i r="1">
      <x v="3"/>
    </i>
    <i r="2">
      <x v="4"/>
    </i>
    <i r="1">
      <x v="5"/>
    </i>
    <i r="2">
      <x v="4"/>
    </i>
    <i r="1">
      <x v="7"/>
    </i>
    <i r="2">
      <x v="4"/>
    </i>
    <i r="1">
      <x v="9"/>
    </i>
    <i r="2">
      <x/>
    </i>
    <i r="2">
      <x v="4"/>
    </i>
    <i>
      <x v="5"/>
    </i>
    <i r="1">
      <x/>
    </i>
    <i r="2">
      <x v="4"/>
    </i>
    <i>
      <x v="6"/>
    </i>
    <i r="1">
      <x v="8"/>
    </i>
    <i r="2">
      <x v="3"/>
    </i>
    <i>
      <x v="7"/>
    </i>
    <i r="1">
      <x v="9"/>
    </i>
    <i r="2">
      <x v="4"/>
    </i>
    <i t="grand">
      <x/>
    </i>
  </rowItems>
  <colFields count="1">
    <field x="3"/>
  </colFields>
  <colItems count="6">
    <i>
      <x/>
    </i>
    <i>
      <x v="1"/>
    </i>
    <i>
      <x v="2"/>
    </i>
    <i>
      <x v="3"/>
    </i>
    <i>
      <x v="4"/>
    </i>
    <i t="grand">
      <x/>
    </i>
  </colItems>
  <dataFields count="1">
    <dataField name="Count of product family"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58997AB-83C1-B440-A313-70641189E1A0}"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4:M35" firstHeaderRow="1" firstDataRow="1" firstDataCol="1"/>
  <pivotFields count="12">
    <pivotField showAll="0"/>
    <pivotField numFmtId="164" showAll="0"/>
    <pivotField showAll="0"/>
    <pivotField showAll="0"/>
    <pivotField showAll="0"/>
    <pivotField showAll="0"/>
    <pivotField showAll="0"/>
    <pivotField showAll="0"/>
    <pivotField showAll="0"/>
    <pivotField showAll="0"/>
    <pivotField showAll="0"/>
    <pivotField axis="axisRow" dataField="1" showAll="0">
      <items count="51">
        <item x="3"/>
        <item m="1" x="37"/>
        <item m="1" x="39"/>
        <item m="1" x="42"/>
        <item m="1" x="48"/>
        <item m="1" x="35"/>
        <item m="1" x="47"/>
        <item m="1" x="30"/>
        <item m="1" x="40"/>
        <item m="1" x="44"/>
        <item m="1" x="45"/>
        <item m="1" x="38"/>
        <item x="20"/>
        <item m="1" x="43"/>
        <item m="1" x="46"/>
        <item m="1" x="41"/>
        <item m="1" x="36"/>
        <item m="1" x="32"/>
        <item m="1" x="31"/>
        <item m="1" x="34"/>
        <item m="1" x="49"/>
        <item m="1" x="33"/>
        <item x="0"/>
        <item x="1"/>
        <item x="2"/>
        <item x="4"/>
        <item x="5"/>
        <item x="6"/>
        <item x="7"/>
        <item x="8"/>
        <item x="9"/>
        <item x="10"/>
        <item x="11"/>
        <item x="12"/>
        <item x="13"/>
        <item x="14"/>
        <item x="15"/>
        <item x="16"/>
        <item x="17"/>
        <item x="18"/>
        <item x="19"/>
        <item x="21"/>
        <item x="22"/>
        <item x="23"/>
        <item x="24"/>
        <item x="25"/>
        <item x="26"/>
        <item x="27"/>
        <item x="28"/>
        <item x="29"/>
        <item t="default"/>
      </items>
    </pivotField>
  </pivotFields>
  <rowFields count="1">
    <field x="11"/>
  </rowFields>
  <rowItems count="31">
    <i>
      <x/>
    </i>
    <i>
      <x v="12"/>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Count of intent" fld="11" subtotal="count" baseField="0" baseItem="0"/>
  </dataFields>
  <conditionalFormats count="2">
    <conditionalFormat priority="2">
      <pivotAreas count="1">
        <pivotArea type="data" collapsedLevelsAreSubtotals="1" fieldPosition="0">
          <references count="2">
            <reference field="4294967294" count="1" selected="0">
              <x v="0"/>
            </reference>
            <reference field="11" count="22">
              <x v="0"/>
              <x v="1"/>
              <x v="2"/>
              <x v="3"/>
              <x v="4"/>
              <x v="5"/>
              <x v="6"/>
              <x v="7"/>
              <x v="8"/>
              <x v="9"/>
              <x v="10"/>
              <x v="11"/>
              <x v="12"/>
              <x v="13"/>
              <x v="14"/>
              <x v="15"/>
              <x v="16"/>
              <x v="17"/>
              <x v="18"/>
              <x v="19"/>
              <x v="20"/>
              <x v="21"/>
            </reference>
          </references>
        </pivotArea>
      </pivotAreas>
    </conditionalFormat>
    <conditionalFormat priority="1">
      <pivotAreas count="1">
        <pivotArea type="data" collapsedLevelsAreSubtotals="1" fieldPosition="0">
          <references count="2">
            <reference field="4294967294" count="1" selected="0">
              <x v="0"/>
            </reference>
            <reference field="11" count="30">
              <x v="0"/>
              <x v="12"/>
              <x v="22"/>
              <x v="23"/>
              <x v="24"/>
              <x v="25"/>
              <x v="26"/>
              <x v="27"/>
              <x v="28"/>
              <x v="29"/>
              <x v="30"/>
              <x v="31"/>
              <x v="32"/>
              <x v="33"/>
              <x v="34"/>
              <x v="35"/>
              <x v="36"/>
              <x v="37"/>
              <x v="38"/>
              <x v="39"/>
              <x v="40"/>
              <x v="41"/>
              <x v="42"/>
              <x v="43"/>
              <x v="44"/>
              <x v="45"/>
              <x v="46"/>
              <x v="47"/>
              <x v="48"/>
              <x v="49"/>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F43628C-18F1-D142-9486-A8E7078D1490}" name="PivotTable1"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6" firstHeaderRow="1" firstDataRow="1" firstDataCol="1"/>
  <pivotFields count="2">
    <pivotField axis="axisRow" showAll="0">
      <items count="2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34"/>
        <item x="220"/>
        <item x="221"/>
        <item x="222"/>
        <item x="223"/>
        <item x="224"/>
        <item x="225"/>
        <item x="226"/>
        <item x="227"/>
        <item x="228"/>
        <item x="229"/>
        <item x="230"/>
        <item x="231"/>
        <item x="232"/>
        <item x="233"/>
        <item x="235"/>
        <item t="default"/>
      </items>
    </pivotField>
    <pivotField axis="axisRow" showAll="0">
      <items count="34">
        <item m="1" x="22"/>
        <item m="1" x="19"/>
        <item m="1" x="23"/>
        <item x="12"/>
        <item x="13"/>
        <item x="9"/>
        <item x="14"/>
        <item m="1" x="17"/>
        <item m="1" x="28"/>
        <item m="1" x="25"/>
        <item m="1" x="29"/>
        <item m="1" x="27"/>
        <item m="1" x="18"/>
        <item x="2"/>
        <item m="1" x="20"/>
        <item x="7"/>
        <item x="10"/>
        <item m="1" x="26"/>
        <item m="1" x="16"/>
        <item m="1" x="31"/>
        <item x="15"/>
        <item m="1" x="30"/>
        <item x="11"/>
        <item m="1" x="32"/>
        <item x="4"/>
        <item m="1" x="24"/>
        <item m="1" x="21"/>
        <item x="1"/>
        <item x="5"/>
        <item x="3"/>
        <item x="0"/>
        <item x="8"/>
        <item x="6"/>
        <item t="default"/>
      </items>
    </pivotField>
  </pivotFields>
  <rowFields count="2">
    <field x="1"/>
    <field x="0"/>
  </rowFields>
  <rowItems count="253">
    <i>
      <x v="3"/>
    </i>
    <i r="1">
      <x v="47"/>
    </i>
    <i r="1">
      <x v="48"/>
    </i>
    <i r="1">
      <x v="49"/>
    </i>
    <i r="1">
      <x v="51"/>
    </i>
    <i r="1">
      <x v="84"/>
    </i>
    <i r="1">
      <x v="119"/>
    </i>
    <i r="1">
      <x v="120"/>
    </i>
    <i>
      <x v="4"/>
    </i>
    <i r="1">
      <x v="95"/>
    </i>
    <i r="1">
      <x v="96"/>
    </i>
    <i r="1">
      <x v="97"/>
    </i>
    <i r="1">
      <x v="98"/>
    </i>
    <i r="1">
      <x v="99"/>
    </i>
    <i r="1">
      <x v="100"/>
    </i>
    <i r="1">
      <x v="178"/>
    </i>
    <i>
      <x v="5"/>
    </i>
    <i r="1">
      <x v="25"/>
    </i>
    <i r="1">
      <x v="26"/>
    </i>
    <i r="1">
      <x v="27"/>
    </i>
    <i r="1">
      <x v="31"/>
    </i>
    <i r="1">
      <x v="53"/>
    </i>
    <i r="1">
      <x v="86"/>
    </i>
    <i r="1">
      <x v="124"/>
    </i>
    <i r="1">
      <x v="125"/>
    </i>
    <i r="1">
      <x v="126"/>
    </i>
    <i r="1">
      <x v="135"/>
    </i>
    <i r="1">
      <x v="136"/>
    </i>
    <i r="1">
      <x v="145"/>
    </i>
    <i r="1">
      <x v="160"/>
    </i>
    <i r="1">
      <x v="162"/>
    </i>
    <i r="1">
      <x v="163"/>
    </i>
    <i r="1">
      <x v="177"/>
    </i>
    <i r="1">
      <x v="180"/>
    </i>
    <i r="1">
      <x v="183"/>
    </i>
    <i>
      <x v="6"/>
    </i>
    <i r="1">
      <x v="108"/>
    </i>
    <i r="1">
      <x v="109"/>
    </i>
    <i r="1">
      <x v="110"/>
    </i>
    <i r="1">
      <x v="111"/>
    </i>
    <i r="1">
      <x v="112"/>
    </i>
    <i r="1">
      <x v="113"/>
    </i>
    <i r="1">
      <x v="114"/>
    </i>
    <i r="1">
      <x v="115"/>
    </i>
    <i>
      <x v="13"/>
    </i>
    <i r="1">
      <x v="4"/>
    </i>
    <i r="1">
      <x v="5"/>
    </i>
    <i r="1">
      <x v="6"/>
    </i>
    <i r="1">
      <x v="7"/>
    </i>
    <i r="1">
      <x v="8"/>
    </i>
    <i r="1">
      <x v="12"/>
    </i>
    <i r="1">
      <x v="22"/>
    </i>
    <i r="1">
      <x v="23"/>
    </i>
    <i r="1">
      <x v="24"/>
    </i>
    <i r="1">
      <x v="40"/>
    </i>
    <i r="1">
      <x v="42"/>
    </i>
    <i r="1">
      <x v="56"/>
    </i>
    <i r="1">
      <x v="67"/>
    </i>
    <i r="1">
      <x v="76"/>
    </i>
    <i r="1">
      <x v="87"/>
    </i>
    <i r="1">
      <x v="88"/>
    </i>
    <i r="1">
      <x v="89"/>
    </i>
    <i r="1">
      <x v="105"/>
    </i>
    <i r="1">
      <x v="116"/>
    </i>
    <i r="1">
      <x v="117"/>
    </i>
    <i r="1">
      <x v="127"/>
    </i>
    <i r="1">
      <x v="129"/>
    </i>
    <i r="1">
      <x v="130"/>
    </i>
    <i r="1">
      <x v="147"/>
    </i>
    <i r="1">
      <x v="148"/>
    </i>
    <i>
      <x v="15"/>
    </i>
    <i r="1">
      <x v="16"/>
    </i>
    <i r="1">
      <x v="192"/>
    </i>
    <i r="1">
      <x v="193"/>
    </i>
    <i r="1">
      <x v="194"/>
    </i>
    <i r="1">
      <x v="205"/>
    </i>
    <i>
      <x v="16"/>
    </i>
    <i r="1">
      <x v="28"/>
    </i>
    <i r="1">
      <x v="179"/>
    </i>
    <i r="1">
      <x v="181"/>
    </i>
    <i r="1">
      <x v="182"/>
    </i>
    <i r="1">
      <x v="191"/>
    </i>
    <i r="1">
      <x v="195"/>
    </i>
    <i r="1">
      <x v="196"/>
    </i>
    <i r="1">
      <x v="197"/>
    </i>
    <i r="1">
      <x v="198"/>
    </i>
    <i r="1">
      <x v="199"/>
    </i>
    <i r="1">
      <x v="200"/>
    </i>
    <i r="1">
      <x v="201"/>
    </i>
    <i r="1">
      <x v="202"/>
    </i>
    <i r="1">
      <x v="203"/>
    </i>
    <i r="1">
      <x v="204"/>
    </i>
    <i>
      <x v="20"/>
    </i>
    <i r="1">
      <x v="235"/>
    </i>
    <i>
      <x v="22"/>
    </i>
    <i r="1">
      <x v="37"/>
    </i>
    <i r="1">
      <x v="43"/>
    </i>
    <i r="1">
      <x v="121"/>
    </i>
    <i r="1">
      <x v="122"/>
    </i>
    <i>
      <x v="24"/>
    </i>
    <i r="1">
      <x v="13"/>
    </i>
    <i r="1">
      <x v="29"/>
    </i>
    <i r="1">
      <x v="55"/>
    </i>
    <i r="1">
      <x v="60"/>
    </i>
    <i r="1">
      <x v="70"/>
    </i>
    <i r="1">
      <x v="83"/>
    </i>
    <i r="1">
      <x v="91"/>
    </i>
    <i r="1">
      <x v="92"/>
    </i>
    <i r="1">
      <x v="104"/>
    </i>
    <i r="1">
      <x v="106"/>
    </i>
    <i r="1">
      <x v="123"/>
    </i>
    <i r="1">
      <x v="151"/>
    </i>
    <i r="1">
      <x v="154"/>
    </i>
    <i r="1">
      <x v="173"/>
    </i>
    <i r="1">
      <x v="190"/>
    </i>
    <i r="1">
      <x v="219"/>
    </i>
    <i r="1">
      <x v="220"/>
    </i>
    <i r="1">
      <x v="225"/>
    </i>
    <i>
      <x v="27"/>
    </i>
    <i r="1">
      <x v="2"/>
    </i>
    <i r="1">
      <x v="3"/>
    </i>
    <i r="1">
      <x v="9"/>
    </i>
    <i r="1">
      <x v="18"/>
    </i>
    <i r="1">
      <x v="21"/>
    </i>
    <i r="1">
      <x v="32"/>
    </i>
    <i r="1">
      <x v="36"/>
    </i>
    <i r="1">
      <x v="38"/>
    </i>
    <i r="1">
      <x v="39"/>
    </i>
    <i r="1">
      <x v="118"/>
    </i>
    <i r="1">
      <x v="149"/>
    </i>
    <i r="1">
      <x v="157"/>
    </i>
    <i r="1">
      <x v="184"/>
    </i>
    <i r="1">
      <x v="185"/>
    </i>
    <i r="1">
      <x v="186"/>
    </i>
    <i r="1">
      <x v="189"/>
    </i>
    <i r="1">
      <x v="208"/>
    </i>
    <i r="1">
      <x v="209"/>
    </i>
    <i r="1">
      <x v="223"/>
    </i>
    <i r="1">
      <x v="224"/>
    </i>
    <i r="1">
      <x v="234"/>
    </i>
    <i>
      <x v="28"/>
    </i>
    <i r="1">
      <x v="14"/>
    </i>
    <i r="1">
      <x v="66"/>
    </i>
    <i r="1">
      <x v="68"/>
    </i>
    <i r="1">
      <x v="69"/>
    </i>
    <i r="1">
      <x v="72"/>
    </i>
    <i r="1">
      <x v="74"/>
    </i>
    <i r="1">
      <x v="107"/>
    </i>
    <i r="1">
      <x v="146"/>
    </i>
    <i r="1">
      <x v="150"/>
    </i>
    <i r="1">
      <x v="152"/>
    </i>
    <i r="1">
      <x v="153"/>
    </i>
    <i r="1">
      <x v="187"/>
    </i>
    <i r="1">
      <x v="226"/>
    </i>
    <i>
      <x v="29"/>
    </i>
    <i r="1">
      <x v="10"/>
    </i>
    <i r="1">
      <x v="11"/>
    </i>
    <i r="1">
      <x v="19"/>
    </i>
    <i r="1">
      <x v="41"/>
    </i>
    <i r="1">
      <x v="57"/>
    </i>
    <i r="1">
      <x v="58"/>
    </i>
    <i r="1">
      <x v="59"/>
    </i>
    <i r="1">
      <x v="62"/>
    </i>
    <i r="1">
      <x v="65"/>
    </i>
    <i r="1">
      <x v="80"/>
    </i>
    <i r="1">
      <x v="85"/>
    </i>
    <i r="1">
      <x v="93"/>
    </i>
    <i r="1">
      <x v="94"/>
    </i>
    <i r="1">
      <x v="137"/>
    </i>
    <i r="1">
      <x v="138"/>
    </i>
    <i r="1">
      <x v="139"/>
    </i>
    <i r="1">
      <x v="140"/>
    </i>
    <i r="1">
      <x v="141"/>
    </i>
    <i r="1">
      <x v="142"/>
    </i>
    <i r="1">
      <x v="143"/>
    </i>
    <i r="1">
      <x v="144"/>
    </i>
    <i r="1">
      <x v="156"/>
    </i>
    <i r="1">
      <x v="168"/>
    </i>
    <i r="1">
      <x v="169"/>
    </i>
    <i r="1">
      <x v="170"/>
    </i>
    <i r="1">
      <x v="171"/>
    </i>
    <i r="1">
      <x v="172"/>
    </i>
    <i r="1">
      <x v="211"/>
    </i>
    <i r="1">
      <x v="212"/>
    </i>
    <i r="1">
      <x v="213"/>
    </i>
    <i r="1">
      <x v="214"/>
    </i>
    <i r="1">
      <x v="215"/>
    </i>
    <i r="1">
      <x v="216"/>
    </i>
    <i r="1">
      <x v="217"/>
    </i>
    <i>
      <x v="30"/>
    </i>
    <i r="1">
      <x/>
    </i>
    <i r="1">
      <x v="1"/>
    </i>
    <i r="1">
      <x v="61"/>
    </i>
    <i r="1">
      <x v="102"/>
    </i>
    <i r="1">
      <x v="132"/>
    </i>
    <i r="1">
      <x v="134"/>
    </i>
    <i r="1">
      <x v="218"/>
    </i>
    <i>
      <x v="31"/>
    </i>
    <i r="1">
      <x v="17"/>
    </i>
    <i r="1">
      <x v="30"/>
    </i>
    <i r="1">
      <x v="33"/>
    </i>
    <i r="1">
      <x v="34"/>
    </i>
    <i r="1">
      <x v="50"/>
    </i>
    <i r="1">
      <x v="54"/>
    </i>
    <i r="1">
      <x v="73"/>
    </i>
    <i r="1">
      <x v="75"/>
    </i>
    <i r="1">
      <x v="77"/>
    </i>
    <i r="1">
      <x v="78"/>
    </i>
    <i r="1">
      <x v="79"/>
    </i>
    <i r="1">
      <x v="82"/>
    </i>
    <i r="1">
      <x v="90"/>
    </i>
    <i r="1">
      <x v="101"/>
    </i>
    <i r="1">
      <x v="128"/>
    </i>
    <i r="1">
      <x v="133"/>
    </i>
    <i r="1">
      <x v="158"/>
    </i>
    <i r="1">
      <x v="159"/>
    </i>
    <i r="1">
      <x v="164"/>
    </i>
    <i r="1">
      <x v="165"/>
    </i>
    <i r="1">
      <x v="166"/>
    </i>
    <i r="1">
      <x v="167"/>
    </i>
    <i r="1">
      <x v="175"/>
    </i>
    <i r="1">
      <x v="176"/>
    </i>
    <i r="1">
      <x v="188"/>
    </i>
    <i r="1">
      <x v="206"/>
    </i>
    <i r="1">
      <x v="207"/>
    </i>
    <i r="1">
      <x v="221"/>
    </i>
    <i r="1">
      <x v="222"/>
    </i>
    <i r="1">
      <x v="227"/>
    </i>
    <i r="1">
      <x v="228"/>
    </i>
    <i r="1">
      <x v="229"/>
    </i>
    <i r="1">
      <x v="230"/>
    </i>
    <i r="1">
      <x v="231"/>
    </i>
    <i r="1">
      <x v="232"/>
    </i>
    <i r="1">
      <x v="233"/>
    </i>
    <i>
      <x v="32"/>
    </i>
    <i r="1">
      <x v="15"/>
    </i>
    <i r="1">
      <x v="20"/>
    </i>
    <i r="1">
      <x v="35"/>
    </i>
    <i r="1">
      <x v="44"/>
    </i>
    <i r="1">
      <x v="45"/>
    </i>
    <i r="1">
      <x v="46"/>
    </i>
    <i r="1">
      <x v="52"/>
    </i>
    <i r="1">
      <x v="63"/>
    </i>
    <i r="1">
      <x v="64"/>
    </i>
    <i r="1">
      <x v="71"/>
    </i>
    <i r="1">
      <x v="81"/>
    </i>
    <i r="1">
      <x v="103"/>
    </i>
    <i r="1">
      <x v="131"/>
    </i>
    <i r="1">
      <x v="155"/>
    </i>
    <i r="1">
      <x v="161"/>
    </i>
    <i r="1">
      <x v="174"/>
    </i>
    <i r="1">
      <x v="21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6ACADD-4EEE-F94A-BF29-0119FC19853D}" name="Table2" displayName="Table2" ref="A1:L151" totalsRowShown="0" headerRowDxfId="15" headerRowBorderDxfId="14">
  <autoFilter ref="A1:L151" xr:uid="{3E30C929-B919-F24B-A22E-C55FAB6B1175}"/>
  <sortState ref="A2:L151">
    <sortCondition descending="1" ref="B1:B151"/>
  </sortState>
  <tableColumns count="12">
    <tableColumn id="1" xr3:uid="{391B456E-FC8F-CF4F-8F57-7443E036BDA8}" name="index" dataDxfId="13"/>
    <tableColumn id="2" xr3:uid="{BF05C26E-3FB4-414D-BB8C-FC9923234973}" name="timestamp" dataDxfId="12"/>
    <tableColumn id="3" xr3:uid="{F0FBE0A1-D3C4-974F-A3DB-DB05E60EA86E}" name="INITIAL_MESSAGE" dataDxfId="11"/>
    <tableColumn id="4" xr3:uid="{EF7DEE41-C6E8-014B-BF5F-0434E137D2D4}" name="product family"/>
    <tableColumn id="5" xr3:uid="{CF2E3F50-9326-7F4B-B30A-5CAA8F931E11}" name="detailed product"/>
    <tableColumn id="6" xr3:uid="{D028888D-0BEE-6A44-9FCC-53CB65371D77}" name="product attribute"/>
    <tableColumn id="7" xr3:uid="{0E1C4209-A45D-3B4A-8A71-1F2DEDC52B68}" name="channel"/>
    <tableColumn id="8" xr3:uid="{08C3BC05-D3DF-4E4B-8973-9462CB46D9FE}" name="action"/>
    <tableColumn id="9" xr3:uid="{9F3DFAE7-BDB2-F042-B75D-617322170D09}" name="action attribute"/>
    <tableColumn id="10" xr3:uid="{6C4AAC05-8F07-574E-BD08-820259725E69}" name="comment"/>
    <tableColumn id="11" xr3:uid="{DE1FE40F-5C6C-0C47-BC27-1BA9F9AD0914}" name="ambiguities"/>
    <tableColumn id="13" xr3:uid="{64F8A261-5BD0-FA4B-BD6E-D7D7408115DC}" name="intent" dataDxfId="10">
      <calculatedColumnFormula>getIntent(Table2[[#This Row],[action]],Table2[[#This Row],[product family]],Table2[[#This Row],[detailed product]],Table2[[#This Row],[action attribute]])</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4E42031-66E1-1044-9113-3703AEA3E331}" name="Table24" displayName="Table24" ref="A1:S151" totalsRowShown="0" headerRowDxfId="8" headerRowBorderDxfId="7">
  <autoFilter ref="A1:S151" xr:uid="{3E30C929-B919-F24B-A22E-C55FAB6B1175}"/>
  <tableColumns count="19">
    <tableColumn id="1" xr3:uid="{AF944C0C-4363-8C4B-B160-AE977BC14E9F}" name="index" dataDxfId="6"/>
    <tableColumn id="2" xr3:uid="{84D924CD-44EB-8E4E-94B7-5BF885888026}" name="timestamp" dataDxfId="5"/>
    <tableColumn id="3" xr3:uid="{9FB21007-4479-E54E-A84A-696692068FE4}" name="INITIAL_MESSAGE" dataDxfId="4"/>
    <tableColumn id="18" xr3:uid="{9A1E9B31-EC5A-9D45-B11D-3BB9CBEA45DC}" name="topic"/>
    <tableColumn id="17" xr3:uid="{38AFB9BB-12ED-E840-A836-AB0E896BD340}" name="what / issue / status"/>
    <tableColumn id="19" xr3:uid="{738D4D75-4A7E-DA49-A238-2A874C9074FB}" name="why / cause of issue / reason contact"/>
    <tableColumn id="20" xr3:uid="{21A1281B-8E5C-6C43-B38B-ED9D922992EF}" name="how / resolution"/>
    <tableColumn id="12" xr3:uid="{606E9C5E-6E28-4D47-BFB2-76A31617E0E3}" name="Intent2" dataDxfId="1">
      <calculatedColumnFormula>"client"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calculatedColumnFormula>
    </tableColumn>
    <tableColumn id="14" xr3:uid="{1CB366AD-4212-7945-BFBD-34773989E814}" name="Column2" dataDxfId="2"/>
    <tableColumn id="15" xr3:uid="{90AE23AA-E188-AE47-B0EF-2E186444F27F}" name="Column3"/>
    <tableColumn id="13" xr3:uid="{FB1DD04D-74DE-4D4A-935A-D91337FD3E02}" name="intent" dataDxfId="3">
      <calculatedColumnFormula>getIntent(Table24[[#This Row],[action]],Table24[[#This Row],[product family]],Table24[[#This Row],[detailed product]],Table24[[#This Row],[action attribute]])</calculatedColumnFormula>
    </tableColumn>
    <tableColumn id="4" xr3:uid="{A68C9FBF-94C6-9E4C-8069-7A01C514AF38}" name="product family"/>
    <tableColumn id="5" xr3:uid="{A0A58944-5783-AC4B-A71E-78649D39F6B7}" name="detailed product"/>
    <tableColumn id="6" xr3:uid="{25676D1D-3343-414C-8712-043D75369891}" name="product attribute"/>
    <tableColumn id="7" xr3:uid="{5E831710-F249-5746-996D-FBB1BDB323DC}" name="channel"/>
    <tableColumn id="8" xr3:uid="{20F9F097-756F-6F45-8B36-841472877E75}" name="action"/>
    <tableColumn id="9" xr3:uid="{17D1D992-95CD-4E46-A87B-743631D991DE}" name="action attribute"/>
    <tableColumn id="10" xr3:uid="{D24A6915-956A-8044-BBE8-C488BB763077}" name="comment"/>
    <tableColumn id="11" xr3:uid="{FB075581-623D-574C-9EDD-BA4BF0D76C3D}" name="ambiguities"/>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239744E-7244-5744-AD12-C7E0A3BF0E05}" name="Table4" displayName="Table4" ref="A1:L15" totalsRowShown="0">
  <autoFilter ref="A1:L15" xr:uid="{AF01FD17-7460-AC4C-9DE0-5E598C49E098}"/>
  <tableColumns count="12">
    <tableColumn id="1" xr3:uid="{E800AF79-9F9E-8549-BD3A-D7B7C12BF3E7}" name="index"/>
    <tableColumn id="2" xr3:uid="{6B5F232E-C9C3-3C4E-9E98-B4E47D912F61}" name="timestamp" dataDxfId="0"/>
    <tableColumn id="3" xr3:uid="{FDA1727F-3891-9740-90FC-07693E7E34B6}" name="INITIAL_MESSAGE"/>
    <tableColumn id="4" xr3:uid="{99B60BA9-A925-E949-A170-95BBC14D85D8}" name="product family"/>
    <tableColumn id="5" xr3:uid="{A1894ED9-8A71-644B-B51F-E1552275A6F6}" name="detailed product"/>
    <tableColumn id="6" xr3:uid="{46ACD030-5FAC-844B-8DA7-993398371F78}" name="product attribute"/>
    <tableColumn id="7" xr3:uid="{0C326D3B-F834-674A-BA52-D220116447EA}" name="channel"/>
    <tableColumn id="8" xr3:uid="{C457C8A2-A58B-E244-922F-B11FF88B2F3A}" name="action"/>
    <tableColumn id="9" xr3:uid="{08320DDE-C5BD-CC43-999A-736A8115396C}" name="action attribute"/>
    <tableColumn id="10" xr3:uid="{48E04A14-BB01-1B44-9466-2D78199374EC}" name="comment"/>
    <tableColumn id="11" xr3:uid="{59DA6D0D-2F2A-6F46-AFBA-16B398AB845C}" name="ambiguities"/>
    <tableColumn id="12" xr3:uid="{579A4630-3B33-EC47-A2E7-026F709216D7}" name="intent"/>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97744EC-0487-3B42-8EDC-CB4ADF7ABA78}" name="Table1" displayName="Table1" ref="A1:A10" totalsRowShown="0" headerRowDxfId="9">
  <autoFilter ref="A1:A10" xr:uid="{F1BBB333-4DE7-2646-8B36-C327F4BBA0F5}"/>
  <tableColumns count="1">
    <tableColumn id="1" xr3:uid="{E206121C-F47C-C444-8D32-7B6AE540FC45}" name="product famil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51"/>
  <sheetViews>
    <sheetView zoomScale="116" zoomScaleNormal="116" workbookViewId="0">
      <selection activeCell="E10" sqref="E10"/>
    </sheetView>
  </sheetViews>
  <sheetFormatPr baseColWidth="10" defaultColWidth="8.83203125" defaultRowHeight="15" x14ac:dyDescent="0.2"/>
  <cols>
    <col min="1" max="1" width="10.5" customWidth="1"/>
    <col min="2" max="2" width="17.6640625" bestFit="1" customWidth="1"/>
    <col min="3" max="3" width="47.6640625" style="5" customWidth="1"/>
    <col min="4" max="4" width="17.33203125" bestFit="1" customWidth="1"/>
    <col min="5" max="5" width="19.1640625" bestFit="1" customWidth="1"/>
    <col min="6" max="6" width="19.6640625" bestFit="1" customWidth="1"/>
    <col min="7" max="7" width="12.33203125" bestFit="1" customWidth="1"/>
    <col min="8" max="8" width="11" bestFit="1" customWidth="1"/>
    <col min="9" max="9" width="18.33203125" bestFit="1" customWidth="1"/>
    <col min="11" max="11" width="44.83203125" bestFit="1" customWidth="1"/>
    <col min="12" max="12" width="60.1640625" bestFit="1" customWidth="1"/>
  </cols>
  <sheetData>
    <row r="1" spans="1:12" ht="16" x14ac:dyDescent="0.2">
      <c r="A1" s="6" t="s">
        <v>529</v>
      </c>
      <c r="B1" s="4" t="s">
        <v>0</v>
      </c>
      <c r="C1" s="4" t="s">
        <v>1</v>
      </c>
      <c r="D1" s="4" t="s">
        <v>134</v>
      </c>
      <c r="E1" s="4" t="s">
        <v>135</v>
      </c>
      <c r="F1" s="4" t="s">
        <v>136</v>
      </c>
      <c r="G1" s="4" t="s">
        <v>137</v>
      </c>
      <c r="H1" s="4" t="s">
        <v>138</v>
      </c>
      <c r="I1" s="4" t="s">
        <v>139</v>
      </c>
      <c r="J1" s="8" t="s">
        <v>531</v>
      </c>
      <c r="K1" s="7" t="s">
        <v>537</v>
      </c>
      <c r="L1" s="8" t="s">
        <v>568</v>
      </c>
    </row>
    <row r="2" spans="1:12" ht="64" x14ac:dyDescent="0.2">
      <c r="A2" s="1">
        <v>120024</v>
      </c>
      <c r="B2" s="2">
        <v>43774.593576388892</v>
      </c>
      <c r="C2" s="5" t="s">
        <v>81</v>
      </c>
      <c r="D2" s="18" t="s">
        <v>140</v>
      </c>
      <c r="E2" s="18"/>
      <c r="F2" s="18"/>
      <c r="G2" s="18"/>
      <c r="H2" s="18" t="s">
        <v>192</v>
      </c>
      <c r="I2" s="18" t="s">
        <v>539</v>
      </c>
      <c r="L2" t="str">
        <f>getIntent(Table2[[#This Row],[action]],Table2[[#This Row],[product family]],Table2[[#This Row],[detailed product]],Table2[[#This Row],[action attribute]])</f>
        <v>Client wants to check the driving license for an unspecified account</v>
      </c>
    </row>
    <row r="3" spans="1:12" ht="64" x14ac:dyDescent="0.2">
      <c r="A3" s="1">
        <v>121011</v>
      </c>
      <c r="B3" s="2">
        <v>43774.448819444442</v>
      </c>
      <c r="C3" s="5" t="s">
        <v>28</v>
      </c>
      <c r="D3" s="18" t="s">
        <v>182</v>
      </c>
      <c r="E3" s="18"/>
      <c r="F3" s="18"/>
      <c r="G3" s="18"/>
      <c r="H3" s="18" t="s">
        <v>192</v>
      </c>
      <c r="I3" s="18" t="s">
        <v>208</v>
      </c>
      <c r="L3" t="str">
        <f>getIntent(Table2[[#This Row],[action]],Table2[[#This Row],[product family]],Table2[[#This Row],[detailed product]],Table2[[#This Row],[action attribute]])</f>
        <v>Client wants to check the not retrieved for an unspecified payment</v>
      </c>
    </row>
    <row r="4" spans="1:12" ht="16" x14ac:dyDescent="0.2">
      <c r="A4" s="1">
        <v>121025</v>
      </c>
      <c r="B4" s="2">
        <v>43774.292881944442</v>
      </c>
      <c r="C4" s="5" t="s">
        <v>115</v>
      </c>
      <c r="D4" s="16" t="s">
        <v>182</v>
      </c>
      <c r="E4" s="16"/>
      <c r="F4" s="16"/>
      <c r="G4" s="16"/>
      <c r="H4" s="16" t="s">
        <v>212</v>
      </c>
      <c r="I4" s="16"/>
      <c r="L4" t="str">
        <f>getIntent(Table2[[#This Row],[action]],Table2[[#This Row],[product family]],Table2[[#This Row],[detailed product]],Table2[[#This Row],[action attribute]])</f>
        <v>Client needs information about an unspecified payment</v>
      </c>
    </row>
    <row r="5" spans="1:12" ht="16" x14ac:dyDescent="0.2">
      <c r="A5" s="1">
        <v>121835</v>
      </c>
      <c r="B5" s="2">
        <v>43774.277337962973</v>
      </c>
      <c r="C5" s="5" t="s">
        <v>68</v>
      </c>
      <c r="D5" s="18" t="s">
        <v>140</v>
      </c>
      <c r="E5" s="18"/>
      <c r="F5" s="18"/>
      <c r="G5" s="18"/>
      <c r="H5" s="18" t="s">
        <v>192</v>
      </c>
      <c r="I5" s="18" t="s">
        <v>193</v>
      </c>
      <c r="L5" t="str">
        <f>getIntent(Table2[[#This Row],[action]],Table2[[#This Row],[product family]],Table2[[#This Row],[detailed product]],Table2[[#This Row],[action attribute]])</f>
        <v>Client wants to check the not approved for an unspecified account</v>
      </c>
    </row>
    <row r="6" spans="1:12" ht="48" x14ac:dyDescent="0.2">
      <c r="A6" s="1">
        <v>119769</v>
      </c>
      <c r="B6" s="2">
        <v>43774.221608796302</v>
      </c>
      <c r="C6" s="5" t="s">
        <v>114</v>
      </c>
      <c r="D6" s="18"/>
      <c r="E6" s="18"/>
      <c r="F6" s="18"/>
      <c r="G6" s="18"/>
      <c r="H6" s="18"/>
      <c r="I6" s="18"/>
      <c r="L6" t="str">
        <f>getIntent(Table2[[#This Row],[action]],Table2[[#This Row],[product family]],Table2[[#This Row],[detailed product]],Table2[[#This Row],[action attribute]])</f>
        <v>About something unknown</v>
      </c>
    </row>
    <row r="7" spans="1:12" ht="16" x14ac:dyDescent="0.2">
      <c r="A7" s="1">
        <v>118670</v>
      </c>
      <c r="B7" s="2">
        <v>43773.526435185187</v>
      </c>
      <c r="C7" s="5" t="s">
        <v>83</v>
      </c>
      <c r="D7" s="18" t="s">
        <v>188</v>
      </c>
      <c r="E7" s="18" t="s">
        <v>188</v>
      </c>
      <c r="F7" s="18" t="s">
        <v>188</v>
      </c>
      <c r="G7" s="18" t="s">
        <v>188</v>
      </c>
      <c r="H7" s="18" t="s">
        <v>188</v>
      </c>
      <c r="I7" s="18" t="s">
        <v>188</v>
      </c>
      <c r="J7" t="s">
        <v>530</v>
      </c>
      <c r="L7" t="str">
        <f>getIntent(Table2[[#This Row],[action]],Table2[[#This Row],[product family]],Table2[[#This Row],[detailed product]],Table2[[#This Row],[action attribute]])</f>
        <v>About something unknown</v>
      </c>
    </row>
    <row r="8" spans="1:12" ht="64" x14ac:dyDescent="0.2">
      <c r="A8" s="1">
        <v>119672</v>
      </c>
      <c r="B8" s="2">
        <v>43773.356099537043</v>
      </c>
      <c r="C8" s="5" t="s">
        <v>60</v>
      </c>
      <c r="D8" s="16" t="s">
        <v>188</v>
      </c>
      <c r="E8" s="16"/>
      <c r="F8" s="16"/>
      <c r="G8" s="16"/>
      <c r="H8" s="16" t="s">
        <v>212</v>
      </c>
      <c r="I8" s="16" t="s">
        <v>548</v>
      </c>
      <c r="L8" t="str">
        <f>getIntent(Table2[[#This Row],[action]],Table2[[#This Row],[product family]],Table2[[#This Row],[detailed product]],Table2[[#This Row],[action attribute]])</f>
        <v>Client needs information about the id means for something unknown</v>
      </c>
    </row>
    <row r="9" spans="1:12" ht="16" x14ac:dyDescent="0.2">
      <c r="A9" s="1">
        <v>118299</v>
      </c>
      <c r="B9" s="2">
        <v>43773.273657407408</v>
      </c>
      <c r="C9" s="5" t="s">
        <v>5</v>
      </c>
      <c r="D9" t="s">
        <v>188</v>
      </c>
      <c r="E9" t="s">
        <v>188</v>
      </c>
      <c r="F9" t="s">
        <v>188</v>
      </c>
      <c r="G9" t="s">
        <v>188</v>
      </c>
      <c r="H9" t="s">
        <v>188</v>
      </c>
      <c r="I9" t="s">
        <v>188</v>
      </c>
      <c r="J9" t="s">
        <v>530</v>
      </c>
      <c r="L9" t="str">
        <f>getIntent(Table2[[#This Row],[action]],Table2[[#This Row],[product family]],Table2[[#This Row],[detailed product]],Table2[[#This Row],[action attribute]])</f>
        <v>About something unknown</v>
      </c>
    </row>
    <row r="10" spans="1:12" ht="16" x14ac:dyDescent="0.2">
      <c r="A10" s="1">
        <v>117540</v>
      </c>
      <c r="B10" s="2">
        <v>43773.253113425933</v>
      </c>
      <c r="C10" s="5" t="s">
        <v>37</v>
      </c>
      <c r="D10" s="18" t="s">
        <v>140</v>
      </c>
      <c r="E10" s="18"/>
      <c r="F10" s="18"/>
      <c r="G10" s="18"/>
      <c r="H10" s="18" t="s">
        <v>192</v>
      </c>
      <c r="I10" s="18" t="s">
        <v>193</v>
      </c>
      <c r="L10" t="str">
        <f>getIntent(Table2[[#This Row],[action]],Table2[[#This Row],[product family]],Table2[[#This Row],[detailed product]],Table2[[#This Row],[action attribute]])</f>
        <v>Client wants to check the not approved for an unspecified account</v>
      </c>
    </row>
    <row r="11" spans="1:12" ht="16" x14ac:dyDescent="0.2">
      <c r="A11" s="1">
        <v>117474</v>
      </c>
      <c r="B11" s="2">
        <v>43773.240937499999</v>
      </c>
      <c r="C11" s="5" t="s">
        <v>23</v>
      </c>
      <c r="D11" t="s">
        <v>188</v>
      </c>
      <c r="H11" t="s">
        <v>212</v>
      </c>
      <c r="K11" t="s">
        <v>538</v>
      </c>
      <c r="L11" t="str">
        <f>getIntent(Table2[[#This Row],[action]],Table2[[#This Row],[product family]],Table2[[#This Row],[detailed product]],Table2[[#This Row],[action attribute]])</f>
        <v>Client needs information about something unknown</v>
      </c>
    </row>
    <row r="12" spans="1:12" ht="16" x14ac:dyDescent="0.2">
      <c r="A12" s="1">
        <v>119201</v>
      </c>
      <c r="B12" s="2">
        <v>43773.169953703713</v>
      </c>
      <c r="C12" s="5" t="s">
        <v>29</v>
      </c>
      <c r="D12" t="s">
        <v>188</v>
      </c>
      <c r="E12" t="s">
        <v>188</v>
      </c>
      <c r="F12" t="s">
        <v>188</v>
      </c>
      <c r="G12" t="s">
        <v>188</v>
      </c>
      <c r="H12" t="s">
        <v>188</v>
      </c>
      <c r="I12" t="s">
        <v>188</v>
      </c>
      <c r="J12" t="s">
        <v>530</v>
      </c>
      <c r="L12" t="str">
        <f>getIntent(Table2[[#This Row],[action]],Table2[[#This Row],[product family]],Table2[[#This Row],[detailed product]],Table2[[#This Row],[action attribute]])</f>
        <v>About something unknown</v>
      </c>
    </row>
    <row r="13" spans="1:12" ht="32" x14ac:dyDescent="0.2">
      <c r="A13" s="1">
        <v>118781</v>
      </c>
      <c r="B13" s="2">
        <v>43773.143865740742</v>
      </c>
      <c r="C13" s="5" t="s">
        <v>62</v>
      </c>
      <c r="D13" t="s">
        <v>182</v>
      </c>
      <c r="H13" t="s">
        <v>212</v>
      </c>
      <c r="I13" t="s">
        <v>193</v>
      </c>
      <c r="L13" t="str">
        <f>getIntent(Table2[[#This Row],[action]],Table2[[#This Row],[product family]],Table2[[#This Row],[detailed product]],Table2[[#This Row],[action attribute]])</f>
        <v>Client needs information about the not approved for an unspecified payment</v>
      </c>
    </row>
    <row r="14" spans="1:12" ht="16" x14ac:dyDescent="0.2">
      <c r="A14" s="1">
        <v>119099</v>
      </c>
      <c r="B14" s="2">
        <v>43773.039386574077</v>
      </c>
      <c r="C14" s="5" t="s">
        <v>44</v>
      </c>
      <c r="D14" s="18" t="s">
        <v>182</v>
      </c>
      <c r="E14" s="18"/>
      <c r="F14" s="18"/>
      <c r="G14" s="18"/>
      <c r="H14" s="18" t="s">
        <v>192</v>
      </c>
      <c r="I14" s="18" t="s">
        <v>208</v>
      </c>
      <c r="L14" t="str">
        <f>getIntent(Table2[[#This Row],[action]],Table2[[#This Row],[product family]],Table2[[#This Row],[detailed product]],Table2[[#This Row],[action attribute]])</f>
        <v>Client wants to check the not retrieved for an unspecified payment</v>
      </c>
    </row>
    <row r="15" spans="1:12" ht="16" x14ac:dyDescent="0.2">
      <c r="A15" s="1">
        <v>117032</v>
      </c>
      <c r="B15" s="2">
        <v>43772.764722222222</v>
      </c>
      <c r="C15" s="5" t="s">
        <v>5</v>
      </c>
      <c r="D15" s="18" t="s">
        <v>188</v>
      </c>
      <c r="E15" s="18" t="s">
        <v>188</v>
      </c>
      <c r="F15" s="18" t="s">
        <v>188</v>
      </c>
      <c r="G15" s="18" t="s">
        <v>188</v>
      </c>
      <c r="H15" s="18" t="s">
        <v>188</v>
      </c>
      <c r="I15" t="s">
        <v>188</v>
      </c>
      <c r="J15" t="s">
        <v>530</v>
      </c>
      <c r="L15" t="str">
        <f>getIntent(Table2[[#This Row],[action]],Table2[[#This Row],[product family]],Table2[[#This Row],[detailed product]],Table2[[#This Row],[action attribute]])</f>
        <v>About something unknown</v>
      </c>
    </row>
    <row r="16" spans="1:12" ht="48" x14ac:dyDescent="0.2">
      <c r="A16" s="1">
        <v>116606</v>
      </c>
      <c r="B16" s="2">
        <v>43772.583541666667</v>
      </c>
      <c r="C16" s="5" t="s">
        <v>69</v>
      </c>
      <c r="D16" t="s">
        <v>140</v>
      </c>
      <c r="H16" t="s">
        <v>192</v>
      </c>
      <c r="I16" t="s">
        <v>193</v>
      </c>
      <c r="L16" t="str">
        <f>getIntent(Table2[[#This Row],[action]],Table2[[#This Row],[product family]],Table2[[#This Row],[detailed product]],Table2[[#This Row],[action attribute]])</f>
        <v>Client wants to check the not approved for an unspecified account</v>
      </c>
    </row>
    <row r="17" spans="1:12" ht="16" x14ac:dyDescent="0.2">
      <c r="A17" s="1">
        <v>122658</v>
      </c>
      <c r="B17" s="2">
        <v>43771.678946759261</v>
      </c>
      <c r="C17" s="5" t="s">
        <v>29</v>
      </c>
      <c r="D17" s="18" t="s">
        <v>188</v>
      </c>
      <c r="E17" s="18" t="s">
        <v>188</v>
      </c>
      <c r="F17" s="18" t="s">
        <v>188</v>
      </c>
      <c r="G17" s="18" t="s">
        <v>188</v>
      </c>
      <c r="H17" s="18" t="s">
        <v>188</v>
      </c>
      <c r="I17" s="18" t="s">
        <v>188</v>
      </c>
      <c r="J17" t="s">
        <v>530</v>
      </c>
      <c r="L17" t="str">
        <f>getIntent(Table2[[#This Row],[action]],Table2[[#This Row],[product family]],Table2[[#This Row],[detailed product]],Table2[[#This Row],[action attribute]])</f>
        <v>About something unknown</v>
      </c>
    </row>
    <row r="18" spans="1:12" ht="80" x14ac:dyDescent="0.2">
      <c r="A18" s="1">
        <v>123624</v>
      </c>
      <c r="B18" s="2">
        <v>43771.533472222232</v>
      </c>
      <c r="C18" s="5" t="s">
        <v>75</v>
      </c>
      <c r="D18" s="16" t="s">
        <v>182</v>
      </c>
      <c r="E18" s="16"/>
      <c r="F18" s="16"/>
      <c r="G18" s="16"/>
      <c r="H18" s="16" t="s">
        <v>192</v>
      </c>
      <c r="I18" s="16" t="s">
        <v>208</v>
      </c>
      <c r="L18" t="str">
        <f>getIntent(Table2[[#This Row],[action]],Table2[[#This Row],[product family]],Table2[[#This Row],[detailed product]],Table2[[#This Row],[action attribute]])</f>
        <v>Client wants to check the not retrieved for an unspecified payment</v>
      </c>
    </row>
    <row r="19" spans="1:12" ht="16" x14ac:dyDescent="0.2">
      <c r="A19" s="1">
        <v>123321</v>
      </c>
      <c r="B19" s="2">
        <v>43771.475219907406</v>
      </c>
      <c r="C19" s="5" t="s">
        <v>126</v>
      </c>
      <c r="D19" s="18" t="s">
        <v>188</v>
      </c>
      <c r="E19" s="18" t="s">
        <v>188</v>
      </c>
      <c r="F19" s="18" t="s">
        <v>188</v>
      </c>
      <c r="G19" s="18" t="s">
        <v>188</v>
      </c>
      <c r="H19" s="18" t="s">
        <v>192</v>
      </c>
      <c r="I19" s="18" t="s">
        <v>188</v>
      </c>
      <c r="L19" t="str">
        <f>getIntent(Table2[[#This Row],[action]],Table2[[#This Row],[product family]],Table2[[#This Row],[detailed product]],Table2[[#This Row],[action attribute]])</f>
        <v>Client wants to check something unknown</v>
      </c>
    </row>
    <row r="20" spans="1:12" ht="16" x14ac:dyDescent="0.2">
      <c r="A20" s="1">
        <v>122679</v>
      </c>
      <c r="B20" s="2">
        <v>43771.388333333343</v>
      </c>
      <c r="C20" s="5" t="s">
        <v>110</v>
      </c>
      <c r="D20" t="s">
        <v>140</v>
      </c>
      <c r="H20" t="s">
        <v>212</v>
      </c>
      <c r="I20" t="s">
        <v>541</v>
      </c>
      <c r="L20" t="str">
        <f>getIntent(Table2[[#This Row],[action]],Table2[[#This Row],[product family]],Table2[[#This Row],[detailed product]],Table2[[#This Row],[action attribute]])</f>
        <v>Client needs information about the time for an unspecified account</v>
      </c>
    </row>
    <row r="21" spans="1:12" ht="16" x14ac:dyDescent="0.2">
      <c r="A21" s="1">
        <v>123422</v>
      </c>
      <c r="B21" s="2">
        <v>43771.336585648147</v>
      </c>
      <c r="C21" s="5" t="s">
        <v>46</v>
      </c>
      <c r="D21" t="s">
        <v>182</v>
      </c>
      <c r="H21" t="s">
        <v>212</v>
      </c>
      <c r="L21" t="str">
        <f>getIntent(Table2[[#This Row],[action]],Table2[[#This Row],[product family]],Table2[[#This Row],[detailed product]],Table2[[#This Row],[action attribute]])</f>
        <v>Client needs information about an unspecified payment</v>
      </c>
    </row>
    <row r="22" spans="1:12" ht="32" x14ac:dyDescent="0.2">
      <c r="A22" s="1">
        <v>123318</v>
      </c>
      <c r="B22" s="2">
        <v>43771.190081018518</v>
      </c>
      <c r="C22" s="5" t="s">
        <v>112</v>
      </c>
      <c r="D22" s="18" t="s">
        <v>188</v>
      </c>
      <c r="E22" s="18" t="s">
        <v>188</v>
      </c>
      <c r="F22" s="18" t="s">
        <v>188</v>
      </c>
      <c r="G22" s="18" t="s">
        <v>188</v>
      </c>
      <c r="H22" s="18" t="s">
        <v>188</v>
      </c>
      <c r="I22" s="18" t="s">
        <v>188</v>
      </c>
      <c r="J22" t="s">
        <v>536</v>
      </c>
      <c r="L22" t="str">
        <f>getIntent(Table2[[#This Row],[action]],Table2[[#This Row],[product family]],Table2[[#This Row],[detailed product]],Table2[[#This Row],[action attribute]])</f>
        <v>About something unknown</v>
      </c>
    </row>
    <row r="23" spans="1:12" ht="16" x14ac:dyDescent="0.2">
      <c r="A23" s="1">
        <v>125977</v>
      </c>
      <c r="B23" s="2">
        <v>43770.583078703698</v>
      </c>
      <c r="C23" s="5" t="s">
        <v>77</v>
      </c>
      <c r="D23" s="18" t="s">
        <v>188</v>
      </c>
      <c r="E23" s="18"/>
      <c r="F23" s="18"/>
      <c r="G23" s="18"/>
      <c r="H23" s="18" t="s">
        <v>212</v>
      </c>
      <c r="I23" s="18"/>
      <c r="K23" t="s">
        <v>538</v>
      </c>
      <c r="L23" t="str">
        <f>getIntent(Table2[[#This Row],[action]],Table2[[#This Row],[product family]],Table2[[#This Row],[detailed product]],Table2[[#This Row],[action attribute]])</f>
        <v>Client needs information about something unknown</v>
      </c>
    </row>
    <row r="24" spans="1:12" ht="16" x14ac:dyDescent="0.2">
      <c r="A24" s="1">
        <v>124947</v>
      </c>
      <c r="B24" s="2">
        <v>43770.252962962957</v>
      </c>
      <c r="C24" s="5" t="s">
        <v>10</v>
      </c>
      <c r="D24" s="18" t="s">
        <v>188</v>
      </c>
      <c r="E24" s="18"/>
      <c r="F24" s="18"/>
      <c r="G24" s="18"/>
      <c r="H24" s="18" t="s">
        <v>212</v>
      </c>
      <c r="I24" s="18"/>
      <c r="K24" t="s">
        <v>538</v>
      </c>
      <c r="L24" t="str">
        <f>getIntent(Table2[[#This Row],[action]],Table2[[#This Row],[product family]],Table2[[#This Row],[detailed product]],Table2[[#This Row],[action attribute]])</f>
        <v>Client needs information about something unknown</v>
      </c>
    </row>
    <row r="25" spans="1:12" ht="16" x14ac:dyDescent="0.2">
      <c r="A25" s="1">
        <v>171470</v>
      </c>
      <c r="B25" s="2">
        <v>43769.868680555563</v>
      </c>
      <c r="C25" s="5" t="s">
        <v>105</v>
      </c>
      <c r="D25" s="18" t="s">
        <v>140</v>
      </c>
      <c r="E25" s="18"/>
      <c r="F25" s="18"/>
      <c r="G25" s="18"/>
      <c r="H25" s="18" t="s">
        <v>212</v>
      </c>
      <c r="I25" s="18" t="s">
        <v>541</v>
      </c>
      <c r="L25" t="str">
        <f>getIntent(Table2[[#This Row],[action]],Table2[[#This Row],[product family]],Table2[[#This Row],[detailed product]],Table2[[#This Row],[action attribute]])</f>
        <v>Client needs information about the time for an unspecified account</v>
      </c>
    </row>
    <row r="26" spans="1:12" ht="16" x14ac:dyDescent="0.2">
      <c r="A26" s="1">
        <v>170788</v>
      </c>
      <c r="B26" s="2">
        <v>43769.707199074073</v>
      </c>
      <c r="C26" s="5" t="s">
        <v>79</v>
      </c>
      <c r="D26" t="s">
        <v>140</v>
      </c>
      <c r="F26" t="s">
        <v>396</v>
      </c>
      <c r="L26" t="str">
        <f>getIntent(Table2[[#This Row],[action]],Table2[[#This Row],[product family]],Table2[[#This Row],[detailed product]],Table2[[#This Row],[action attribute]])</f>
        <v>About an unspecified account</v>
      </c>
    </row>
    <row r="27" spans="1:12" ht="16" x14ac:dyDescent="0.2">
      <c r="A27" s="1">
        <v>171097</v>
      </c>
      <c r="B27" s="2">
        <v>43769.672442129631</v>
      </c>
      <c r="C27" s="5" t="s">
        <v>121</v>
      </c>
      <c r="D27" s="16" t="s">
        <v>182</v>
      </c>
      <c r="E27" s="16"/>
      <c r="F27" s="16"/>
      <c r="G27" s="16"/>
      <c r="H27" s="16" t="s">
        <v>192</v>
      </c>
      <c r="I27" s="16" t="s">
        <v>208</v>
      </c>
      <c r="L27" t="str">
        <f>getIntent(Table2[[#This Row],[action]],Table2[[#This Row],[product family]],Table2[[#This Row],[detailed product]],Table2[[#This Row],[action attribute]])</f>
        <v>Client wants to check the not retrieved for an unspecified payment</v>
      </c>
    </row>
    <row r="28" spans="1:12" ht="16" x14ac:dyDescent="0.2">
      <c r="A28" s="1">
        <v>169689</v>
      </c>
      <c r="B28" s="2">
        <v>43769.65556712963</v>
      </c>
      <c r="C28" s="5" t="s">
        <v>47</v>
      </c>
      <c r="D28" s="18" t="s">
        <v>140</v>
      </c>
      <c r="E28" s="18"/>
      <c r="F28" s="18" t="s">
        <v>396</v>
      </c>
      <c r="G28" s="18"/>
      <c r="H28" s="18" t="s">
        <v>212</v>
      </c>
      <c r="I28" s="18"/>
      <c r="K28" t="s">
        <v>545</v>
      </c>
      <c r="L28" t="str">
        <f>getIntent(Table2[[#This Row],[action]],Table2[[#This Row],[product family]],Table2[[#This Row],[detailed product]],Table2[[#This Row],[action attribute]])</f>
        <v>Client needs information about an unspecified account</v>
      </c>
    </row>
    <row r="29" spans="1:12" ht="16" x14ac:dyDescent="0.2">
      <c r="A29" s="1">
        <v>170035</v>
      </c>
      <c r="B29" s="2">
        <v>43769.277141203696</v>
      </c>
      <c r="C29" s="5" t="s">
        <v>85</v>
      </c>
      <c r="D29" s="18" t="s">
        <v>188</v>
      </c>
      <c r="E29" s="18" t="s">
        <v>188</v>
      </c>
      <c r="F29" s="18" t="s">
        <v>188</v>
      </c>
      <c r="G29" s="18" t="s">
        <v>188</v>
      </c>
      <c r="H29" s="18" t="s">
        <v>188</v>
      </c>
      <c r="I29" s="18" t="s">
        <v>188</v>
      </c>
      <c r="J29" t="s">
        <v>536</v>
      </c>
      <c r="L29" t="str">
        <f>getIntent(Table2[[#This Row],[action]],Table2[[#This Row],[product family]],Table2[[#This Row],[detailed product]],Table2[[#This Row],[action attribute]])</f>
        <v>About something unknown</v>
      </c>
    </row>
    <row r="30" spans="1:12" ht="16" x14ac:dyDescent="0.2">
      <c r="A30" s="1">
        <v>169467</v>
      </c>
      <c r="B30" s="2">
        <v>43769.232407407413</v>
      </c>
      <c r="C30" s="5" t="s">
        <v>5</v>
      </c>
      <c r="D30" t="s">
        <v>188</v>
      </c>
      <c r="E30" t="s">
        <v>188</v>
      </c>
      <c r="F30" t="s">
        <v>188</v>
      </c>
      <c r="G30" t="s">
        <v>188</v>
      </c>
      <c r="H30" t="s">
        <v>188</v>
      </c>
      <c r="I30" t="s">
        <v>188</v>
      </c>
      <c r="J30" t="s">
        <v>530</v>
      </c>
      <c r="L30" t="str">
        <f>getIntent(Table2[[#This Row],[action]],Table2[[#This Row],[product family]],Table2[[#This Row],[detailed product]],Table2[[#This Row],[action attribute]])</f>
        <v>About something unknown</v>
      </c>
    </row>
    <row r="31" spans="1:12" ht="16" x14ac:dyDescent="0.2">
      <c r="A31" s="1">
        <v>169477</v>
      </c>
      <c r="B31" s="2">
        <v>43769.198229166657</v>
      </c>
      <c r="C31" s="5" t="s">
        <v>30</v>
      </c>
      <c r="D31" s="18" t="s">
        <v>188</v>
      </c>
      <c r="E31" s="18" t="s">
        <v>188</v>
      </c>
      <c r="F31" s="18" t="s">
        <v>188</v>
      </c>
      <c r="G31" s="18" t="s">
        <v>188</v>
      </c>
      <c r="H31" s="18" t="s">
        <v>188</v>
      </c>
      <c r="I31" s="18" t="s">
        <v>188</v>
      </c>
      <c r="J31" t="s">
        <v>530</v>
      </c>
      <c r="L31" t="str">
        <f>getIntent(Table2[[#This Row],[action]],Table2[[#This Row],[product family]],Table2[[#This Row],[detailed product]],Table2[[#This Row],[action attribute]])</f>
        <v>About something unknown</v>
      </c>
    </row>
    <row r="32" spans="1:12" ht="16" x14ac:dyDescent="0.2">
      <c r="A32" s="1">
        <v>170491</v>
      </c>
      <c r="B32" s="2">
        <v>43769.179305555554</v>
      </c>
      <c r="C32" s="5" t="s">
        <v>33</v>
      </c>
      <c r="D32" s="18" t="s">
        <v>188</v>
      </c>
      <c r="E32" s="18"/>
      <c r="F32" s="18"/>
      <c r="G32" s="18"/>
      <c r="H32" s="18" t="s">
        <v>212</v>
      </c>
      <c r="I32" s="18" t="s">
        <v>548</v>
      </c>
      <c r="L32" t="str">
        <f>getIntent(Table2[[#This Row],[action]],Table2[[#This Row],[product family]],Table2[[#This Row],[detailed product]],Table2[[#This Row],[action attribute]])</f>
        <v>Client needs information about the id means for something unknown</v>
      </c>
    </row>
    <row r="33" spans="1:12" ht="32" x14ac:dyDescent="0.2">
      <c r="A33" s="1">
        <v>173049</v>
      </c>
      <c r="B33" s="2">
        <v>43768.209618055553</v>
      </c>
      <c r="C33" s="5" t="s">
        <v>26</v>
      </c>
      <c r="D33" s="18" t="s">
        <v>182</v>
      </c>
      <c r="E33" s="18"/>
      <c r="F33" s="18"/>
      <c r="G33" s="18"/>
      <c r="H33" s="18" t="s">
        <v>192</v>
      </c>
      <c r="I33" s="18" t="s">
        <v>208</v>
      </c>
      <c r="L33" t="str">
        <f>getIntent(Table2[[#This Row],[action]],Table2[[#This Row],[product family]],Table2[[#This Row],[detailed product]],Table2[[#This Row],[action attribute]])</f>
        <v>Client wants to check the not retrieved for an unspecified payment</v>
      </c>
    </row>
    <row r="34" spans="1:12" ht="16" x14ac:dyDescent="0.2">
      <c r="A34" s="1">
        <v>144739</v>
      </c>
      <c r="B34" s="2">
        <v>43767.530011574083</v>
      </c>
      <c r="C34" s="5" t="s">
        <v>131</v>
      </c>
      <c r="D34" s="18" t="s">
        <v>188</v>
      </c>
      <c r="E34" s="18"/>
      <c r="F34" s="18" t="s">
        <v>447</v>
      </c>
      <c r="G34" s="18"/>
      <c r="H34" s="18" t="s">
        <v>186</v>
      </c>
      <c r="I34" s="18"/>
      <c r="L34" t="str">
        <f>getIntent(Table2[[#This Row],[action]],Table2[[#This Row],[product family]],Table2[[#This Row],[detailed product]],Table2[[#This Row],[action attribute]])</f>
        <v>Client wants to change + something unknown</v>
      </c>
    </row>
    <row r="35" spans="1:12" ht="64" x14ac:dyDescent="0.2">
      <c r="A35" s="1">
        <v>146512</v>
      </c>
      <c r="B35" s="2">
        <v>43767.254108796304</v>
      </c>
      <c r="C35" s="5" t="s">
        <v>74</v>
      </c>
      <c r="D35" t="s">
        <v>188</v>
      </c>
      <c r="K35" t="s">
        <v>549</v>
      </c>
      <c r="L35" t="str">
        <f>getIntent(Table2[[#This Row],[action]],Table2[[#This Row],[product family]],Table2[[#This Row],[detailed product]],Table2[[#This Row],[action attribute]])</f>
        <v>About something unknown</v>
      </c>
    </row>
    <row r="36" spans="1:12" ht="32" x14ac:dyDescent="0.2">
      <c r="A36" s="1">
        <v>145651</v>
      </c>
      <c r="B36" s="2">
        <v>43767.155486111107</v>
      </c>
      <c r="C36" s="5" t="s">
        <v>7</v>
      </c>
      <c r="D36" t="s">
        <v>182</v>
      </c>
      <c r="H36" t="s">
        <v>192</v>
      </c>
      <c r="I36" t="s">
        <v>208</v>
      </c>
      <c r="L36" t="str">
        <f>getIntent(Table2[[#This Row],[action]],Table2[[#This Row],[product family]],Table2[[#This Row],[detailed product]],Table2[[#This Row],[action attribute]])</f>
        <v>Client wants to check the not retrieved for an unspecified payment</v>
      </c>
    </row>
    <row r="37" spans="1:12" ht="32" x14ac:dyDescent="0.2">
      <c r="A37" s="1">
        <v>149974</v>
      </c>
      <c r="B37" s="2">
        <v>43766.676793981482</v>
      </c>
      <c r="C37" s="5" t="s">
        <v>99</v>
      </c>
      <c r="D37" s="16" t="s">
        <v>182</v>
      </c>
      <c r="E37" s="16"/>
      <c r="F37" s="16"/>
      <c r="G37" s="16"/>
      <c r="H37" s="16" t="s">
        <v>212</v>
      </c>
      <c r="I37" s="16" t="s">
        <v>552</v>
      </c>
      <c r="L37" t="str">
        <f>getIntent(Table2[[#This Row],[action]],Table2[[#This Row],[product family]],Table2[[#This Row],[detailed product]],Table2[[#This Row],[action attribute]])</f>
        <v>Client needs information about the fee for an unspecified payment</v>
      </c>
    </row>
    <row r="38" spans="1:12" ht="16" x14ac:dyDescent="0.2">
      <c r="A38" s="1">
        <v>151872</v>
      </c>
      <c r="B38" s="2">
        <v>43766.555208333331</v>
      </c>
      <c r="C38" s="5" t="s">
        <v>113</v>
      </c>
      <c r="D38" t="s">
        <v>188</v>
      </c>
      <c r="E38" t="s">
        <v>188</v>
      </c>
      <c r="F38" t="s">
        <v>188</v>
      </c>
      <c r="G38" t="s">
        <v>188</v>
      </c>
      <c r="H38" t="s">
        <v>188</v>
      </c>
      <c r="I38" t="s">
        <v>188</v>
      </c>
      <c r="L38" t="str">
        <f>getIntent(Table2[[#This Row],[action]],Table2[[#This Row],[product family]],Table2[[#This Row],[detailed product]],Table2[[#This Row],[action attribute]])</f>
        <v>About something unknown</v>
      </c>
    </row>
    <row r="39" spans="1:12" ht="16" x14ac:dyDescent="0.2">
      <c r="A39" s="1">
        <v>151131</v>
      </c>
      <c r="B39" s="2">
        <v>43766.418194444443</v>
      </c>
      <c r="C39" s="5" t="s">
        <v>30</v>
      </c>
      <c r="D39" s="18" t="s">
        <v>188</v>
      </c>
      <c r="E39" s="18" t="s">
        <v>188</v>
      </c>
      <c r="F39" s="18" t="s">
        <v>188</v>
      </c>
      <c r="G39" s="18" t="s">
        <v>188</v>
      </c>
      <c r="H39" s="18" t="s">
        <v>188</v>
      </c>
      <c r="I39" s="18" t="s">
        <v>188</v>
      </c>
      <c r="J39" t="s">
        <v>530</v>
      </c>
      <c r="L39" t="str">
        <f>getIntent(Table2[[#This Row],[action]],Table2[[#This Row],[product family]],Table2[[#This Row],[detailed product]],Table2[[#This Row],[action attribute]])</f>
        <v>About something unknown</v>
      </c>
    </row>
    <row r="40" spans="1:12" ht="32" x14ac:dyDescent="0.2">
      <c r="A40" s="1">
        <v>151248</v>
      </c>
      <c r="B40" s="2">
        <v>43766.137372685182</v>
      </c>
      <c r="C40" s="5" t="s">
        <v>35</v>
      </c>
      <c r="D40" s="18" t="s">
        <v>182</v>
      </c>
      <c r="E40" s="18"/>
      <c r="F40" s="18"/>
      <c r="G40" s="18"/>
      <c r="H40" s="18" t="s">
        <v>192</v>
      </c>
      <c r="I40" s="18" t="s">
        <v>208</v>
      </c>
      <c r="L40" t="str">
        <f>getIntent(Table2[[#This Row],[action]],Table2[[#This Row],[product family]],Table2[[#This Row],[detailed product]],Table2[[#This Row],[action attribute]])</f>
        <v>Client wants to check the not retrieved for an unspecified payment</v>
      </c>
    </row>
    <row r="41" spans="1:12" ht="16" x14ac:dyDescent="0.2">
      <c r="A41" s="1">
        <v>150774</v>
      </c>
      <c r="B41" s="2">
        <v>43766.065833333327</v>
      </c>
      <c r="C41" s="5" t="s">
        <v>59</v>
      </c>
      <c r="D41" t="s">
        <v>182</v>
      </c>
      <c r="H41" t="s">
        <v>212</v>
      </c>
      <c r="L41" t="str">
        <f>getIntent(Table2[[#This Row],[action]],Table2[[#This Row],[product family]],Table2[[#This Row],[detailed product]],Table2[[#This Row],[action attribute]])</f>
        <v>Client needs information about an unspecified payment</v>
      </c>
    </row>
    <row r="42" spans="1:12" ht="32" x14ac:dyDescent="0.2">
      <c r="A42" s="1">
        <v>151379</v>
      </c>
      <c r="B42" s="2">
        <v>43766.039270833331</v>
      </c>
      <c r="C42" s="5" t="s">
        <v>89</v>
      </c>
      <c r="D42" s="16" t="s">
        <v>188</v>
      </c>
      <c r="E42" s="16"/>
      <c r="F42" s="16"/>
      <c r="G42" s="16"/>
      <c r="H42" s="16" t="s">
        <v>212</v>
      </c>
      <c r="I42" s="16" t="s">
        <v>548</v>
      </c>
      <c r="L42" t="str">
        <f>getIntent(Table2[[#This Row],[action]],Table2[[#This Row],[product family]],Table2[[#This Row],[detailed product]],Table2[[#This Row],[action attribute]])</f>
        <v>Client needs information about the id means for something unknown</v>
      </c>
    </row>
    <row r="43" spans="1:12" ht="16" x14ac:dyDescent="0.2">
      <c r="A43" s="1">
        <v>141213</v>
      </c>
      <c r="B43" s="2">
        <v>43765.797523148147</v>
      </c>
      <c r="C43" s="5" t="s">
        <v>98</v>
      </c>
      <c r="D43" s="16" t="s">
        <v>188</v>
      </c>
      <c r="E43" s="16"/>
      <c r="F43" s="16"/>
      <c r="G43" s="16"/>
      <c r="H43" s="16" t="s">
        <v>192</v>
      </c>
      <c r="I43" s="16" t="s">
        <v>548</v>
      </c>
      <c r="L43" t="str">
        <f>getIntent(Table2[[#This Row],[action]],Table2[[#This Row],[product family]],Table2[[#This Row],[detailed product]],Table2[[#This Row],[action attribute]])</f>
        <v>Client wants to check the id means for something unknown</v>
      </c>
    </row>
    <row r="44" spans="1:12" ht="32" x14ac:dyDescent="0.2">
      <c r="A44" s="1">
        <v>141635</v>
      </c>
      <c r="B44" s="2">
        <v>43765.579652777778</v>
      </c>
      <c r="C44" s="5" t="s">
        <v>109</v>
      </c>
      <c r="D44" s="18" t="s">
        <v>140</v>
      </c>
      <c r="E44" s="18"/>
      <c r="F44" s="18"/>
      <c r="G44" s="18"/>
      <c r="H44" s="18" t="s">
        <v>192</v>
      </c>
      <c r="I44" s="18" t="s">
        <v>193</v>
      </c>
      <c r="L44" t="str">
        <f>getIntent(Table2[[#This Row],[action]],Table2[[#This Row],[product family]],Table2[[#This Row],[detailed product]],Table2[[#This Row],[action attribute]])</f>
        <v>Client wants to check the not approved for an unspecified account</v>
      </c>
    </row>
    <row r="45" spans="1:12" ht="16" x14ac:dyDescent="0.2">
      <c r="A45" s="1">
        <v>142177</v>
      </c>
      <c r="B45" s="2">
        <v>43765.401458333326</v>
      </c>
      <c r="C45" s="5" t="s">
        <v>87</v>
      </c>
      <c r="D45" s="18" t="s">
        <v>188</v>
      </c>
      <c r="E45" s="18" t="s">
        <v>188</v>
      </c>
      <c r="F45" s="18" t="s">
        <v>188</v>
      </c>
      <c r="G45" s="18" t="s">
        <v>188</v>
      </c>
      <c r="H45" s="18" t="s">
        <v>188</v>
      </c>
      <c r="I45" s="18" t="s">
        <v>188</v>
      </c>
      <c r="J45" t="s">
        <v>536</v>
      </c>
      <c r="L45" t="str">
        <f>getIntent(Table2[[#This Row],[action]],Table2[[#This Row],[product family]],Table2[[#This Row],[detailed product]],Table2[[#This Row],[action attribute]])</f>
        <v>About something unknown</v>
      </c>
    </row>
    <row r="46" spans="1:12" ht="32" x14ac:dyDescent="0.2">
      <c r="A46" s="1">
        <v>140553</v>
      </c>
      <c r="B46" s="2">
        <v>43765.361331018517</v>
      </c>
      <c r="C46" s="5" t="s">
        <v>3</v>
      </c>
      <c r="D46" s="18" t="s">
        <v>188</v>
      </c>
      <c r="E46" s="18"/>
      <c r="F46" s="18"/>
      <c r="G46" s="18"/>
      <c r="H46" s="18" t="s">
        <v>212</v>
      </c>
      <c r="I46" s="18" t="s">
        <v>532</v>
      </c>
      <c r="L46" t="str">
        <f>getIntent(Table2[[#This Row],[action]],Table2[[#This Row],[product family]],Table2[[#This Row],[detailed product]],Table2[[#This Row],[action attribute]])</f>
        <v>Client needs information about the safe for something unknown</v>
      </c>
    </row>
    <row r="47" spans="1:12" ht="48" x14ac:dyDescent="0.2">
      <c r="A47" s="1">
        <v>142137</v>
      </c>
      <c r="B47" s="2">
        <v>43765.307615740741</v>
      </c>
      <c r="C47" s="5" t="s">
        <v>57</v>
      </c>
      <c r="D47" s="18" t="s">
        <v>188</v>
      </c>
      <c r="E47" s="18"/>
      <c r="F47" s="18"/>
      <c r="G47" s="18"/>
      <c r="H47" s="18"/>
      <c r="I47" s="18"/>
      <c r="K47" t="s">
        <v>545</v>
      </c>
      <c r="L47" t="str">
        <f>getIntent(Table2[[#This Row],[action]],Table2[[#This Row],[product family]],Table2[[#This Row],[detailed product]],Table2[[#This Row],[action attribute]])</f>
        <v>About something unknown</v>
      </c>
    </row>
    <row r="48" spans="1:12" ht="16" x14ac:dyDescent="0.2">
      <c r="A48" s="1">
        <v>142044</v>
      </c>
      <c r="B48" s="2">
        <v>43765.250844907408</v>
      </c>
      <c r="C48" s="5" t="s">
        <v>133</v>
      </c>
      <c r="D48" s="18" t="s">
        <v>188</v>
      </c>
      <c r="E48" s="18"/>
      <c r="F48" s="18" t="s">
        <v>210</v>
      </c>
      <c r="G48" s="18"/>
      <c r="H48" s="18" t="s">
        <v>174</v>
      </c>
      <c r="I48" s="18"/>
      <c r="L48" t="str">
        <f>getIntent(Table2[[#This Row],[action]],Table2[[#This Row],[product family]],Table2[[#This Row],[detailed product]],Table2[[#This Row],[action attribute]])</f>
        <v>Client wants to change something unknown</v>
      </c>
    </row>
    <row r="49" spans="1:12" ht="16" x14ac:dyDescent="0.2">
      <c r="A49" s="1">
        <v>140686</v>
      </c>
      <c r="B49" s="2">
        <v>43765.248495370368</v>
      </c>
      <c r="C49" s="5" t="s">
        <v>102</v>
      </c>
      <c r="D49" s="18" t="s">
        <v>140</v>
      </c>
      <c r="E49" s="18"/>
      <c r="F49" s="18"/>
      <c r="G49" s="18"/>
      <c r="H49" s="18" t="s">
        <v>212</v>
      </c>
      <c r="I49" s="18" t="s">
        <v>193</v>
      </c>
      <c r="L49" t="str">
        <f>getIntent(Table2[[#This Row],[action]],Table2[[#This Row],[product family]],Table2[[#This Row],[detailed product]],Table2[[#This Row],[action attribute]])</f>
        <v>Client needs information about the not approved for an unspecified account</v>
      </c>
    </row>
    <row r="50" spans="1:12" ht="32" x14ac:dyDescent="0.2">
      <c r="A50" s="1">
        <v>140632</v>
      </c>
      <c r="B50" s="2">
        <v>43765.210150462961</v>
      </c>
      <c r="C50" s="5" t="s">
        <v>96</v>
      </c>
      <c r="D50" t="s">
        <v>188</v>
      </c>
      <c r="E50" t="s">
        <v>188</v>
      </c>
      <c r="F50" t="s">
        <v>188</v>
      </c>
      <c r="G50" t="s">
        <v>188</v>
      </c>
      <c r="H50" t="s">
        <v>192</v>
      </c>
      <c r="I50" t="s">
        <v>188</v>
      </c>
      <c r="L50" t="str">
        <f>getIntent(Table2[[#This Row],[action]],Table2[[#This Row],[product family]],Table2[[#This Row],[detailed product]],Table2[[#This Row],[action attribute]])</f>
        <v>Client wants to check something unknown</v>
      </c>
    </row>
    <row r="51" spans="1:12" ht="16" x14ac:dyDescent="0.2">
      <c r="A51" s="1">
        <v>141591</v>
      </c>
      <c r="B51" s="2">
        <v>43764.952916666669</v>
      </c>
      <c r="C51" s="5" t="s">
        <v>107</v>
      </c>
      <c r="D51" s="16" t="s">
        <v>188</v>
      </c>
      <c r="E51" s="16"/>
      <c r="F51" s="16"/>
      <c r="G51" s="16"/>
      <c r="H51" s="16" t="s">
        <v>212</v>
      </c>
      <c r="I51" s="16" t="s">
        <v>548</v>
      </c>
      <c r="L51" t="str">
        <f>getIntent(Table2[[#This Row],[action]],Table2[[#This Row],[product family]],Table2[[#This Row],[detailed product]],Table2[[#This Row],[action attribute]])</f>
        <v>Client needs information about the id means for something unknown</v>
      </c>
    </row>
    <row r="52" spans="1:12" ht="16" x14ac:dyDescent="0.2">
      <c r="A52" s="1">
        <v>159916</v>
      </c>
      <c r="B52" s="2">
        <v>43764.262928240743</v>
      </c>
      <c r="C52" s="5" t="s">
        <v>53</v>
      </c>
      <c r="D52" s="18" t="s">
        <v>188</v>
      </c>
      <c r="E52" s="18"/>
      <c r="F52" s="18"/>
      <c r="G52" s="18"/>
      <c r="H52" s="18" t="s">
        <v>212</v>
      </c>
      <c r="I52" s="18" t="s">
        <v>548</v>
      </c>
      <c r="L52" t="str">
        <f>getIntent(Table2[[#This Row],[action]],Table2[[#This Row],[product family]],Table2[[#This Row],[detailed product]],Table2[[#This Row],[action attribute]])</f>
        <v>Client needs information about the id means for something unknown</v>
      </c>
    </row>
    <row r="53" spans="1:12" ht="32" x14ac:dyDescent="0.2">
      <c r="A53" s="1">
        <v>160939</v>
      </c>
      <c r="B53" s="2">
        <v>43764.202407407407</v>
      </c>
      <c r="C53" s="5" t="s">
        <v>20</v>
      </c>
      <c r="D53" s="18" t="s">
        <v>188</v>
      </c>
      <c r="E53" s="18" t="s">
        <v>188</v>
      </c>
      <c r="F53" s="18" t="s">
        <v>188</v>
      </c>
      <c r="G53" s="18" t="s">
        <v>188</v>
      </c>
      <c r="H53" s="18" t="s">
        <v>188</v>
      </c>
      <c r="I53" s="18" t="s">
        <v>188</v>
      </c>
      <c r="J53" t="s">
        <v>544</v>
      </c>
      <c r="L53" t="str">
        <f>getIntent(Table2[[#This Row],[action]],Table2[[#This Row],[product family]],Table2[[#This Row],[detailed product]],Table2[[#This Row],[action attribute]])</f>
        <v>About something unknown</v>
      </c>
    </row>
    <row r="54" spans="1:12" ht="16" x14ac:dyDescent="0.2">
      <c r="A54" s="1">
        <v>159251</v>
      </c>
      <c r="B54" s="2">
        <v>43764.044409722221</v>
      </c>
      <c r="C54" s="5" t="s">
        <v>71</v>
      </c>
      <c r="D54" t="s">
        <v>188</v>
      </c>
      <c r="J54" t="s">
        <v>564</v>
      </c>
      <c r="L54" t="str">
        <f>getIntent(Table2[[#This Row],[action]],Table2[[#This Row],[product family]],Table2[[#This Row],[detailed product]],Table2[[#This Row],[action attribute]])</f>
        <v>About something unknown</v>
      </c>
    </row>
    <row r="55" spans="1:12" ht="16" x14ac:dyDescent="0.2">
      <c r="A55" s="1">
        <v>200147</v>
      </c>
      <c r="B55" s="2">
        <v>43763.643692129634</v>
      </c>
      <c r="C55" s="5" t="s">
        <v>90</v>
      </c>
      <c r="D55" s="16" t="s">
        <v>188</v>
      </c>
      <c r="E55" s="16"/>
      <c r="F55" s="16"/>
      <c r="G55" s="16"/>
      <c r="H55" s="16" t="s">
        <v>212</v>
      </c>
      <c r="I55" s="16" t="s">
        <v>548</v>
      </c>
      <c r="L55" t="str">
        <f>getIntent(Table2[[#This Row],[action]],Table2[[#This Row],[product family]],Table2[[#This Row],[detailed product]],Table2[[#This Row],[action attribute]])</f>
        <v>Client needs information about the id means for something unknown</v>
      </c>
    </row>
    <row r="56" spans="1:12" ht="32" x14ac:dyDescent="0.2">
      <c r="A56" s="1">
        <v>200432</v>
      </c>
      <c r="B56" s="2">
        <v>43763.480821759258</v>
      </c>
      <c r="C56" s="5" t="s">
        <v>67</v>
      </c>
      <c r="D56" s="10" t="s">
        <v>182</v>
      </c>
      <c r="E56" s="10"/>
      <c r="F56" s="10"/>
      <c r="G56" s="10"/>
      <c r="H56" s="10" t="s">
        <v>192</v>
      </c>
      <c r="I56" s="10" t="s">
        <v>208</v>
      </c>
      <c r="L56" t="str">
        <f>getIntent(Table2[[#This Row],[action]],Table2[[#This Row],[product family]],Table2[[#This Row],[detailed product]],Table2[[#This Row],[action attribute]])</f>
        <v>Client wants to check the not retrieved for an unspecified payment</v>
      </c>
    </row>
    <row r="57" spans="1:12" ht="32" x14ac:dyDescent="0.2">
      <c r="A57" s="1">
        <v>199735</v>
      </c>
      <c r="B57" s="2">
        <v>43763.433148148149</v>
      </c>
      <c r="C57" s="5" t="s">
        <v>50</v>
      </c>
      <c r="D57" s="18" t="s">
        <v>182</v>
      </c>
      <c r="E57" s="18"/>
      <c r="F57" s="18"/>
      <c r="G57" s="18"/>
      <c r="H57" s="18" t="s">
        <v>212</v>
      </c>
      <c r="I57" s="18"/>
      <c r="L57" t="str">
        <f>getIntent(Table2[[#This Row],[action]],Table2[[#This Row],[product family]],Table2[[#This Row],[detailed product]],Table2[[#This Row],[action attribute]])</f>
        <v>Client needs information about an unspecified payment</v>
      </c>
    </row>
    <row r="58" spans="1:12" ht="16" x14ac:dyDescent="0.2">
      <c r="A58" s="1">
        <v>200138</v>
      </c>
      <c r="B58" s="2">
        <v>43763.359375</v>
      </c>
      <c r="C58" s="5" t="s">
        <v>27</v>
      </c>
      <c r="D58" s="18" t="s">
        <v>188</v>
      </c>
      <c r="E58" s="18"/>
      <c r="F58" s="18"/>
      <c r="G58" s="18"/>
      <c r="H58" s="18"/>
      <c r="I58" s="18"/>
      <c r="L58" t="str">
        <f>getIntent(Table2[[#This Row],[action]],Table2[[#This Row],[product family]],Table2[[#This Row],[detailed product]],Table2[[#This Row],[action attribute]])</f>
        <v>About something unknown</v>
      </c>
    </row>
    <row r="59" spans="1:12" ht="16" x14ac:dyDescent="0.2">
      <c r="A59" s="1">
        <v>200043</v>
      </c>
      <c r="B59" s="2">
        <v>43763.352442129632</v>
      </c>
      <c r="C59" s="5" t="s">
        <v>34</v>
      </c>
      <c r="D59" s="18" t="s">
        <v>188</v>
      </c>
      <c r="E59" s="18"/>
      <c r="F59" s="18"/>
      <c r="G59" s="18"/>
      <c r="H59" s="18"/>
      <c r="I59" s="18"/>
      <c r="L59" t="str">
        <f>getIntent(Table2[[#This Row],[action]],Table2[[#This Row],[product family]],Table2[[#This Row],[detailed product]],Table2[[#This Row],[action attribute]])</f>
        <v>About something unknown</v>
      </c>
    </row>
    <row r="60" spans="1:12" ht="16" x14ac:dyDescent="0.2">
      <c r="A60" s="1">
        <v>199139</v>
      </c>
      <c r="B60" s="2">
        <v>43763.22184027778</v>
      </c>
      <c r="C60" s="5" t="s">
        <v>14</v>
      </c>
      <c r="D60" s="18" t="s">
        <v>188</v>
      </c>
      <c r="E60" s="18"/>
      <c r="F60" s="18"/>
      <c r="G60" s="18" t="s">
        <v>270</v>
      </c>
      <c r="H60" s="18" t="s">
        <v>192</v>
      </c>
      <c r="I60" s="18" t="s">
        <v>208</v>
      </c>
      <c r="L60" t="str">
        <f>getIntent(Table2[[#This Row],[action]],Table2[[#This Row],[product family]],Table2[[#This Row],[detailed product]],Table2[[#This Row],[action attribute]])</f>
        <v>Client wants to check the not retrieved for something unknown</v>
      </c>
    </row>
    <row r="61" spans="1:12" ht="32" x14ac:dyDescent="0.2">
      <c r="A61" s="1">
        <v>200803</v>
      </c>
      <c r="B61" s="2">
        <v>43763.049768518518</v>
      </c>
      <c r="C61" s="5" t="s">
        <v>97</v>
      </c>
      <c r="D61" s="16" t="s">
        <v>182</v>
      </c>
      <c r="E61" s="16"/>
      <c r="F61" s="16"/>
      <c r="G61" s="16"/>
      <c r="H61" s="16" t="s">
        <v>192</v>
      </c>
      <c r="I61" s="16" t="s">
        <v>208</v>
      </c>
      <c r="L61" t="str">
        <f>getIntent(Table2[[#This Row],[action]],Table2[[#This Row],[product family]],Table2[[#This Row],[detailed product]],Table2[[#This Row],[action attribute]])</f>
        <v>Client wants to check the not retrieved for an unspecified payment</v>
      </c>
    </row>
    <row r="62" spans="1:12" ht="16" x14ac:dyDescent="0.2">
      <c r="A62" s="1">
        <v>183471</v>
      </c>
      <c r="B62" s="2">
        <v>43762.69734953704</v>
      </c>
      <c r="C62" s="5" t="s">
        <v>39</v>
      </c>
      <c r="D62" t="s">
        <v>188</v>
      </c>
      <c r="H62" t="s">
        <v>212</v>
      </c>
      <c r="I62" t="s">
        <v>548</v>
      </c>
      <c r="L62" t="str">
        <f>getIntent(Table2[[#This Row],[action]],Table2[[#This Row],[product family]],Table2[[#This Row],[detailed product]],Table2[[#This Row],[action attribute]])</f>
        <v>Client needs information about the id means for something unknown</v>
      </c>
    </row>
    <row r="63" spans="1:12" ht="32" x14ac:dyDescent="0.2">
      <c r="A63" s="1">
        <v>182928</v>
      </c>
      <c r="B63" s="2">
        <v>43762.41201388889</v>
      </c>
      <c r="C63" s="5" t="s">
        <v>120</v>
      </c>
      <c r="D63" t="s">
        <v>188</v>
      </c>
      <c r="E63" t="s">
        <v>188</v>
      </c>
      <c r="F63" t="s">
        <v>188</v>
      </c>
      <c r="G63" t="s">
        <v>188</v>
      </c>
      <c r="H63" t="s">
        <v>188</v>
      </c>
      <c r="I63" t="s">
        <v>188</v>
      </c>
      <c r="J63" t="s">
        <v>536</v>
      </c>
      <c r="L63" t="str">
        <f>getIntent(Table2[[#This Row],[action]],Table2[[#This Row],[product family]],Table2[[#This Row],[detailed product]],Table2[[#This Row],[action attribute]])</f>
        <v>About something unknown</v>
      </c>
    </row>
    <row r="64" spans="1:12" ht="16" x14ac:dyDescent="0.2">
      <c r="A64" s="1">
        <v>182134</v>
      </c>
      <c r="B64" s="2">
        <v>43762.322430555563</v>
      </c>
      <c r="C64" s="5" t="s">
        <v>54</v>
      </c>
      <c r="D64" s="17" t="s">
        <v>188</v>
      </c>
      <c r="E64" s="17"/>
      <c r="F64" s="17"/>
      <c r="G64" s="17"/>
      <c r="H64" s="17"/>
      <c r="I64" s="17"/>
      <c r="J64" t="s">
        <v>566</v>
      </c>
      <c r="L64" t="str">
        <f>getIntent(Table2[[#This Row],[action]],Table2[[#This Row],[product family]],Table2[[#This Row],[detailed product]],Table2[[#This Row],[action attribute]])</f>
        <v>About something unknown</v>
      </c>
    </row>
    <row r="65" spans="1:12" ht="80" x14ac:dyDescent="0.2">
      <c r="A65" s="1">
        <v>182879</v>
      </c>
      <c r="B65" s="2">
        <v>43762.213865740741</v>
      </c>
      <c r="C65" s="5" t="s">
        <v>129</v>
      </c>
      <c r="D65" t="s">
        <v>140</v>
      </c>
      <c r="H65" t="s">
        <v>192</v>
      </c>
      <c r="I65" t="s">
        <v>193</v>
      </c>
      <c r="L65" t="str">
        <f>getIntent(Table2[[#This Row],[action]],Table2[[#This Row],[product family]],Table2[[#This Row],[detailed product]],Table2[[#This Row],[action attribute]])</f>
        <v>Client wants to check the not approved for an unspecified account</v>
      </c>
    </row>
    <row r="66" spans="1:12" ht="16" x14ac:dyDescent="0.2">
      <c r="A66" s="1">
        <v>181340</v>
      </c>
      <c r="B66" s="2">
        <v>43762.191400462973</v>
      </c>
      <c r="C66" s="5" t="s">
        <v>80</v>
      </c>
      <c r="D66" t="s">
        <v>188</v>
      </c>
      <c r="E66" t="s">
        <v>188</v>
      </c>
      <c r="F66" t="s">
        <v>188</v>
      </c>
      <c r="G66" t="s">
        <v>188</v>
      </c>
      <c r="H66" t="s">
        <v>188</v>
      </c>
      <c r="I66" t="s">
        <v>188</v>
      </c>
      <c r="J66" t="s">
        <v>536</v>
      </c>
      <c r="L66" t="str">
        <f>getIntent(Table2[[#This Row],[action]],Table2[[#This Row],[product family]],Table2[[#This Row],[detailed product]],Table2[[#This Row],[action attribute]])</f>
        <v>About something unknown</v>
      </c>
    </row>
    <row r="67" spans="1:12" ht="16" x14ac:dyDescent="0.2">
      <c r="A67" s="1">
        <v>183335</v>
      </c>
      <c r="B67" s="2">
        <v>43761.927442129629</v>
      </c>
      <c r="C67" s="5" t="s">
        <v>58</v>
      </c>
      <c r="D67" s="18" t="s">
        <v>182</v>
      </c>
      <c r="E67" s="18"/>
      <c r="F67" s="18"/>
      <c r="G67" s="18"/>
      <c r="H67" s="18" t="s">
        <v>212</v>
      </c>
      <c r="I67" s="18"/>
      <c r="L67" t="str">
        <f>getIntent(Table2[[#This Row],[action]],Table2[[#This Row],[product family]],Table2[[#This Row],[detailed product]],Table2[[#This Row],[action attribute]])</f>
        <v>Client needs information about an unspecified payment</v>
      </c>
    </row>
    <row r="68" spans="1:12" ht="16" x14ac:dyDescent="0.2">
      <c r="A68" s="1">
        <v>185590</v>
      </c>
      <c r="B68" s="2">
        <v>43761.102129629631</v>
      </c>
      <c r="C68" s="5" t="s">
        <v>32</v>
      </c>
      <c r="D68" t="s">
        <v>140</v>
      </c>
      <c r="H68" t="s">
        <v>192</v>
      </c>
      <c r="I68" t="s">
        <v>193</v>
      </c>
      <c r="L68" t="str">
        <f>getIntent(Table2[[#This Row],[action]],Table2[[#This Row],[product family]],Table2[[#This Row],[detailed product]],Table2[[#This Row],[action attribute]])</f>
        <v>Client wants to check the not approved for an unspecified account</v>
      </c>
    </row>
    <row r="69" spans="1:12" ht="32" x14ac:dyDescent="0.2">
      <c r="A69" s="1">
        <v>198228</v>
      </c>
      <c r="B69" s="2">
        <v>43760.493437500001</v>
      </c>
      <c r="C69" s="5" t="s">
        <v>100</v>
      </c>
      <c r="D69" t="s">
        <v>182</v>
      </c>
      <c r="H69" t="s">
        <v>212</v>
      </c>
      <c r="J69" t="s">
        <v>427</v>
      </c>
      <c r="L69" t="str">
        <f>getIntent(Table2[[#This Row],[action]],Table2[[#This Row],[product family]],Table2[[#This Row],[detailed product]],Table2[[#This Row],[action attribute]])</f>
        <v>Client needs information about an unspecified payment</v>
      </c>
    </row>
    <row r="70" spans="1:12" ht="32" x14ac:dyDescent="0.2">
      <c r="A70" s="1">
        <v>196546</v>
      </c>
      <c r="B70" s="2">
        <v>43760.196273148147</v>
      </c>
      <c r="C70" s="5" t="s">
        <v>125</v>
      </c>
      <c r="D70" t="s">
        <v>182</v>
      </c>
      <c r="H70" t="s">
        <v>192</v>
      </c>
      <c r="I70" t="s">
        <v>541</v>
      </c>
      <c r="L70" t="str">
        <f>getIntent(Table2[[#This Row],[action]],Table2[[#This Row],[product family]],Table2[[#This Row],[detailed product]],Table2[[#This Row],[action attribute]])</f>
        <v>Client wants to check the time for an unspecified payment</v>
      </c>
    </row>
    <row r="71" spans="1:12" ht="16" x14ac:dyDescent="0.2">
      <c r="A71" s="1">
        <v>197936</v>
      </c>
      <c r="B71" s="2">
        <v>43760.011944444443</v>
      </c>
      <c r="C71" s="5" t="s">
        <v>17</v>
      </c>
      <c r="D71" s="17" t="s">
        <v>188</v>
      </c>
      <c r="E71" s="17"/>
      <c r="F71" s="17" t="s">
        <v>521</v>
      </c>
      <c r="G71" s="17" t="s">
        <v>161</v>
      </c>
      <c r="H71" s="17" t="s">
        <v>212</v>
      </c>
      <c r="I71" s="17"/>
      <c r="L71" t="str">
        <f>getIntent(Table2[[#This Row],[action]],Table2[[#This Row],[product family]],Table2[[#This Row],[detailed product]],Table2[[#This Row],[action attribute]])</f>
        <v>Client needs information about something unknown</v>
      </c>
    </row>
    <row r="72" spans="1:12" ht="48" x14ac:dyDescent="0.2">
      <c r="A72" s="1">
        <v>162080</v>
      </c>
      <c r="B72" s="2">
        <v>43759.306898148148</v>
      </c>
      <c r="C72" s="5" t="s">
        <v>22</v>
      </c>
      <c r="D72" s="18" t="s">
        <v>182</v>
      </c>
      <c r="E72" s="18"/>
      <c r="F72" s="18"/>
      <c r="G72" s="18"/>
      <c r="H72" s="18" t="s">
        <v>192</v>
      </c>
      <c r="I72" s="18" t="s">
        <v>208</v>
      </c>
      <c r="L72" t="str">
        <f>getIntent(Table2[[#This Row],[action]],Table2[[#This Row],[product family]],Table2[[#This Row],[detailed product]],Table2[[#This Row],[action attribute]])</f>
        <v>Client wants to check the not retrieved for an unspecified payment</v>
      </c>
    </row>
    <row r="73" spans="1:12" ht="16" x14ac:dyDescent="0.2">
      <c r="A73" s="1">
        <v>161833</v>
      </c>
      <c r="B73" s="2">
        <v>43759.240069444437</v>
      </c>
      <c r="C73" s="5" t="s">
        <v>5</v>
      </c>
      <c r="D73" s="18" t="s">
        <v>188</v>
      </c>
      <c r="E73" s="18" t="s">
        <v>188</v>
      </c>
      <c r="F73" s="18" t="s">
        <v>188</v>
      </c>
      <c r="G73" s="18" t="s">
        <v>188</v>
      </c>
      <c r="H73" s="18" t="s">
        <v>188</v>
      </c>
      <c r="I73" s="18" t="s">
        <v>188</v>
      </c>
      <c r="J73" t="s">
        <v>530</v>
      </c>
      <c r="L73" t="str">
        <f>getIntent(Table2[[#This Row],[action]],Table2[[#This Row],[product family]],Table2[[#This Row],[detailed product]],Table2[[#This Row],[action attribute]])</f>
        <v>About something unknown</v>
      </c>
    </row>
    <row r="74" spans="1:12" ht="32" x14ac:dyDescent="0.2">
      <c r="A74" s="1">
        <v>136553</v>
      </c>
      <c r="B74" s="2">
        <v>43758.778136574067</v>
      </c>
      <c r="C74" s="5" t="s">
        <v>4</v>
      </c>
      <c r="D74" s="18" t="s">
        <v>140</v>
      </c>
      <c r="E74" s="18"/>
      <c r="F74" s="18"/>
      <c r="G74" s="18"/>
      <c r="H74" s="18" t="s">
        <v>192</v>
      </c>
      <c r="I74" s="18" t="s">
        <v>193</v>
      </c>
      <c r="L74" t="str">
        <f>getIntent(Table2[[#This Row],[action]],Table2[[#This Row],[product family]],Table2[[#This Row],[detailed product]],Table2[[#This Row],[action attribute]])</f>
        <v>Client wants to check the not approved for an unspecified account</v>
      </c>
    </row>
    <row r="75" spans="1:12" ht="16" x14ac:dyDescent="0.2">
      <c r="A75" s="1">
        <v>137185</v>
      </c>
      <c r="B75" s="2">
        <v>43758.774305555547</v>
      </c>
      <c r="C75" s="5" t="s">
        <v>104</v>
      </c>
      <c r="D75" s="18" t="s">
        <v>188</v>
      </c>
      <c r="E75" s="18" t="s">
        <v>188</v>
      </c>
      <c r="F75" s="18" t="s">
        <v>188</v>
      </c>
      <c r="G75" s="18" t="s">
        <v>188</v>
      </c>
      <c r="H75" s="18" t="s">
        <v>188</v>
      </c>
      <c r="I75" s="18" t="s">
        <v>188</v>
      </c>
      <c r="J75" t="s">
        <v>553</v>
      </c>
      <c r="L75" t="str">
        <f>getIntent(Table2[[#This Row],[action]],Table2[[#This Row],[product family]],Table2[[#This Row],[detailed product]],Table2[[#This Row],[action attribute]])</f>
        <v>About something unknown</v>
      </c>
    </row>
    <row r="76" spans="1:12" ht="16" x14ac:dyDescent="0.2">
      <c r="A76" s="1">
        <v>136379</v>
      </c>
      <c r="B76" s="2">
        <v>43758.703530092593</v>
      </c>
      <c r="C76" s="5" t="s">
        <v>31</v>
      </c>
      <c r="D76" t="s">
        <v>188</v>
      </c>
      <c r="H76" t="s">
        <v>212</v>
      </c>
      <c r="K76" t="s">
        <v>538</v>
      </c>
      <c r="L76" t="str">
        <f>getIntent(Table2[[#This Row],[action]],Table2[[#This Row],[product family]],Table2[[#This Row],[detailed product]],Table2[[#This Row],[action attribute]])</f>
        <v>Client needs information about something unknown</v>
      </c>
    </row>
    <row r="77" spans="1:12" ht="16" x14ac:dyDescent="0.2">
      <c r="A77" s="1">
        <v>137604</v>
      </c>
      <c r="B77" s="2">
        <v>43758.666562500002</v>
      </c>
      <c r="C77" s="5" t="s">
        <v>64</v>
      </c>
      <c r="D77" s="18" t="s">
        <v>188</v>
      </c>
      <c r="E77" s="18"/>
      <c r="F77" s="18"/>
      <c r="G77" s="18"/>
      <c r="H77" s="18"/>
      <c r="I77" s="18"/>
      <c r="K77" t="s">
        <v>559</v>
      </c>
      <c r="L77" t="str">
        <f>getIntent(Table2[[#This Row],[action]],Table2[[#This Row],[product family]],Table2[[#This Row],[detailed product]],Table2[[#This Row],[action attribute]])</f>
        <v>About something unknown</v>
      </c>
    </row>
    <row r="78" spans="1:12" ht="16" x14ac:dyDescent="0.2">
      <c r="A78" s="1">
        <v>158814</v>
      </c>
      <c r="B78" s="2">
        <v>43757.900868055563</v>
      </c>
      <c r="C78" s="5" t="s">
        <v>78</v>
      </c>
      <c r="D78" t="s">
        <v>188</v>
      </c>
      <c r="E78" t="s">
        <v>188</v>
      </c>
      <c r="F78" t="s">
        <v>188</v>
      </c>
      <c r="G78" t="s">
        <v>188</v>
      </c>
      <c r="H78" t="s">
        <v>188</v>
      </c>
      <c r="I78" t="s">
        <v>188</v>
      </c>
      <c r="J78" t="s">
        <v>530</v>
      </c>
      <c r="L78" t="str">
        <f>getIntent(Table2[[#This Row],[action]],Table2[[#This Row],[product family]],Table2[[#This Row],[detailed product]],Table2[[#This Row],[action attribute]])</f>
        <v>About something unknown</v>
      </c>
    </row>
    <row r="79" spans="1:12" ht="64" x14ac:dyDescent="0.2">
      <c r="A79" s="1">
        <v>158767</v>
      </c>
      <c r="B79" s="2">
        <v>43757.552071759259</v>
      </c>
      <c r="C79" s="5" t="s">
        <v>13</v>
      </c>
      <c r="D79" s="17" t="s">
        <v>140</v>
      </c>
      <c r="E79" s="17"/>
      <c r="F79" s="17"/>
      <c r="G79" s="17"/>
      <c r="H79" s="17" t="s">
        <v>144</v>
      </c>
      <c r="I79" s="17"/>
      <c r="K79" t="s">
        <v>540</v>
      </c>
      <c r="L79" t="str">
        <f>getIntent(Table2[[#This Row],[action]],Table2[[#This Row],[product family]],Table2[[#This Row],[detailed product]],Table2[[#This Row],[action attribute]])</f>
        <v>Client wants to activate an unspecified account</v>
      </c>
    </row>
    <row r="80" spans="1:12" ht="16" x14ac:dyDescent="0.2">
      <c r="A80" s="1">
        <v>158709</v>
      </c>
      <c r="B80" s="2">
        <v>43757.403090277781</v>
      </c>
      <c r="C80" s="5" t="s">
        <v>52</v>
      </c>
      <c r="D80" s="16" t="s">
        <v>182</v>
      </c>
      <c r="E80" s="16"/>
      <c r="F80" s="16"/>
      <c r="G80" s="16"/>
      <c r="H80" s="16" t="s">
        <v>192</v>
      </c>
      <c r="I80" s="16" t="s">
        <v>208</v>
      </c>
      <c r="L80" t="str">
        <f>getIntent(Table2[[#This Row],[action]],Table2[[#This Row],[product family]],Table2[[#This Row],[detailed product]],Table2[[#This Row],[action attribute]])</f>
        <v>Client wants to check the not retrieved for an unspecified payment</v>
      </c>
    </row>
    <row r="81" spans="1:12" ht="16" x14ac:dyDescent="0.2">
      <c r="A81" s="1">
        <v>138102</v>
      </c>
      <c r="B81" s="2">
        <v>43756.765775462962</v>
      </c>
      <c r="C81" s="5" t="s">
        <v>82</v>
      </c>
      <c r="D81" s="16" t="s">
        <v>182</v>
      </c>
      <c r="E81" s="16"/>
      <c r="F81" s="16"/>
      <c r="G81" s="16"/>
      <c r="H81" s="16" t="s">
        <v>212</v>
      </c>
      <c r="I81" s="16" t="s">
        <v>541</v>
      </c>
      <c r="L81" t="str">
        <f>getIntent(Table2[[#This Row],[action]],Table2[[#This Row],[product family]],Table2[[#This Row],[detailed product]],Table2[[#This Row],[action attribute]])</f>
        <v>Client needs information about the time for an unspecified payment</v>
      </c>
    </row>
    <row r="82" spans="1:12" ht="32" x14ac:dyDescent="0.2">
      <c r="A82" s="1">
        <v>138602</v>
      </c>
      <c r="B82" s="2">
        <v>43756.594988425917</v>
      </c>
      <c r="C82" s="5" t="s">
        <v>73</v>
      </c>
      <c r="D82" s="18" t="s">
        <v>188</v>
      </c>
      <c r="E82" s="18" t="s">
        <v>188</v>
      </c>
      <c r="F82" s="18" t="s">
        <v>188</v>
      </c>
      <c r="G82" s="18" t="s">
        <v>188</v>
      </c>
      <c r="H82" s="18" t="s">
        <v>188</v>
      </c>
      <c r="I82" s="18" t="s">
        <v>188</v>
      </c>
      <c r="J82" t="s">
        <v>536</v>
      </c>
      <c r="L82" t="str">
        <f>getIntent(Table2[[#This Row],[action]],Table2[[#This Row],[product family]],Table2[[#This Row],[detailed product]],Table2[[#This Row],[action attribute]])</f>
        <v>About something unknown</v>
      </c>
    </row>
    <row r="83" spans="1:12" ht="32" x14ac:dyDescent="0.2">
      <c r="A83" s="1">
        <v>139949</v>
      </c>
      <c r="B83" s="2">
        <v>43756.324293981481</v>
      </c>
      <c r="C83" s="5" t="s">
        <v>76</v>
      </c>
      <c r="D83" s="18" t="s">
        <v>188</v>
      </c>
      <c r="E83" s="18"/>
      <c r="F83" s="18" t="s">
        <v>210</v>
      </c>
      <c r="G83" s="18"/>
      <c r="H83" s="18" t="s">
        <v>192</v>
      </c>
      <c r="I83" s="18" t="s">
        <v>193</v>
      </c>
      <c r="L83" t="str">
        <f>getIntent(Table2[[#This Row],[action]],Table2[[#This Row],[product family]],Table2[[#This Row],[detailed product]],Table2[[#This Row],[action attribute]])</f>
        <v>Client wants to check the not approved for something unknown</v>
      </c>
    </row>
    <row r="84" spans="1:12" ht="16" x14ac:dyDescent="0.2">
      <c r="A84" s="1">
        <v>139152</v>
      </c>
      <c r="B84" s="2">
        <v>43756.161759259259</v>
      </c>
      <c r="C84" s="5" t="s">
        <v>5</v>
      </c>
      <c r="D84" t="s">
        <v>188</v>
      </c>
      <c r="E84" t="s">
        <v>188</v>
      </c>
      <c r="F84" t="s">
        <v>188</v>
      </c>
      <c r="G84" t="s">
        <v>188</v>
      </c>
      <c r="H84" t="s">
        <v>188</v>
      </c>
      <c r="I84" t="s">
        <v>188</v>
      </c>
      <c r="J84" t="s">
        <v>530</v>
      </c>
      <c r="L84" t="str">
        <f>getIntent(Table2[[#This Row],[action]],Table2[[#This Row],[product family]],Table2[[#This Row],[detailed product]],Table2[[#This Row],[action attribute]])</f>
        <v>About something unknown</v>
      </c>
    </row>
    <row r="85" spans="1:12" ht="48" x14ac:dyDescent="0.2">
      <c r="A85" s="1">
        <v>139331</v>
      </c>
      <c r="B85" s="2">
        <v>43756.021550925929</v>
      </c>
      <c r="C85" s="5" t="s">
        <v>116</v>
      </c>
      <c r="D85" t="s">
        <v>182</v>
      </c>
      <c r="H85" t="s">
        <v>192</v>
      </c>
      <c r="I85" t="s">
        <v>208</v>
      </c>
      <c r="L85" t="str">
        <f>getIntent(Table2[[#This Row],[action]],Table2[[#This Row],[product family]],Table2[[#This Row],[detailed product]],Table2[[#This Row],[action attribute]])</f>
        <v>Client wants to check the not retrieved for an unspecified payment</v>
      </c>
    </row>
    <row r="86" spans="1:12" ht="16" x14ac:dyDescent="0.2">
      <c r="A86" s="1">
        <v>153994</v>
      </c>
      <c r="B86" s="2">
        <v>43755.731793981482</v>
      </c>
      <c r="C86" s="5" t="s">
        <v>34</v>
      </c>
      <c r="D86" s="17" t="s">
        <v>188</v>
      </c>
      <c r="E86" s="17" t="s">
        <v>188</v>
      </c>
      <c r="F86" s="17" t="s">
        <v>188</v>
      </c>
      <c r="G86" s="17" t="s">
        <v>188</v>
      </c>
      <c r="H86" s="17" t="s">
        <v>188</v>
      </c>
      <c r="I86" s="17" t="s">
        <v>188</v>
      </c>
      <c r="L86" t="str">
        <f>getIntent(Table2[[#This Row],[action]],Table2[[#This Row],[product family]],Table2[[#This Row],[detailed product]],Table2[[#This Row],[action attribute]])</f>
        <v>About something unknown</v>
      </c>
    </row>
    <row r="87" spans="1:12" ht="16" x14ac:dyDescent="0.2">
      <c r="A87" s="1">
        <v>153172</v>
      </c>
      <c r="B87" s="2">
        <v>43755.650300925918</v>
      </c>
      <c r="C87" s="5" t="s">
        <v>63</v>
      </c>
      <c r="D87" s="18" t="s">
        <v>188</v>
      </c>
      <c r="E87" s="18" t="s">
        <v>188</v>
      </c>
      <c r="F87" s="18" t="s">
        <v>188</v>
      </c>
      <c r="G87" s="18" t="s">
        <v>188</v>
      </c>
      <c r="H87" s="18" t="s">
        <v>188</v>
      </c>
      <c r="I87" s="18" t="s">
        <v>188</v>
      </c>
      <c r="J87" t="s">
        <v>530</v>
      </c>
      <c r="L87" t="str">
        <f>getIntent(Table2[[#This Row],[action]],Table2[[#This Row],[product family]],Table2[[#This Row],[detailed product]],Table2[[#This Row],[action attribute]])</f>
        <v>About something unknown</v>
      </c>
    </row>
    <row r="88" spans="1:12" ht="16" x14ac:dyDescent="0.2">
      <c r="A88" s="1">
        <v>153296</v>
      </c>
      <c r="B88" s="2">
        <v>43755.565266203703</v>
      </c>
      <c r="C88" s="5" t="s">
        <v>72</v>
      </c>
      <c r="L88" t="str">
        <f>getIntent(Table2[[#This Row],[action]],Table2[[#This Row],[product family]],Table2[[#This Row],[detailed product]],Table2[[#This Row],[action attribute]])</f>
        <v>About something unknown</v>
      </c>
    </row>
    <row r="89" spans="1:12" ht="16" x14ac:dyDescent="0.2">
      <c r="A89" s="1">
        <v>155013</v>
      </c>
      <c r="B89" s="2">
        <v>43755.450532407413</v>
      </c>
      <c r="C89" s="5" t="s">
        <v>5</v>
      </c>
      <c r="D89" s="18" t="s">
        <v>188</v>
      </c>
      <c r="E89" s="18" t="s">
        <v>188</v>
      </c>
      <c r="F89" s="18" t="s">
        <v>188</v>
      </c>
      <c r="G89" s="18" t="s">
        <v>188</v>
      </c>
      <c r="H89" s="18" t="s">
        <v>188</v>
      </c>
      <c r="I89" s="18" t="s">
        <v>188</v>
      </c>
      <c r="J89" t="s">
        <v>530</v>
      </c>
      <c r="L89" t="str">
        <f>getIntent(Table2[[#This Row],[action]],Table2[[#This Row],[product family]],Table2[[#This Row],[detailed product]],Table2[[#This Row],[action attribute]])</f>
        <v>About something unknown</v>
      </c>
    </row>
    <row r="90" spans="1:12" ht="16" x14ac:dyDescent="0.2">
      <c r="A90" s="1">
        <v>152753</v>
      </c>
      <c r="B90" s="2">
        <v>43755.263773148137</v>
      </c>
      <c r="C90" s="5" t="s">
        <v>30</v>
      </c>
      <c r="D90" s="18" t="s">
        <v>188</v>
      </c>
      <c r="E90" s="18" t="s">
        <v>188</v>
      </c>
      <c r="F90" s="18" t="s">
        <v>188</v>
      </c>
      <c r="G90" s="18" t="s">
        <v>188</v>
      </c>
      <c r="H90" s="18" t="s">
        <v>188</v>
      </c>
      <c r="I90" s="18" t="s">
        <v>188</v>
      </c>
      <c r="J90" t="s">
        <v>530</v>
      </c>
      <c r="L90" t="str">
        <f>getIntent(Table2[[#This Row],[action]],Table2[[#This Row],[product family]],Table2[[#This Row],[detailed product]],Table2[[#This Row],[action attribute]])</f>
        <v>About something unknown</v>
      </c>
    </row>
    <row r="91" spans="1:12" ht="16" x14ac:dyDescent="0.2">
      <c r="A91" s="1">
        <v>153167</v>
      </c>
      <c r="B91" s="2">
        <v>43755.249756944453</v>
      </c>
      <c r="C91" s="5" t="s">
        <v>65</v>
      </c>
      <c r="D91" t="s">
        <v>188</v>
      </c>
      <c r="K91" t="s">
        <v>560</v>
      </c>
      <c r="L91" t="str">
        <f>getIntent(Table2[[#This Row],[action]],Table2[[#This Row],[product family]],Table2[[#This Row],[detailed product]],Table2[[#This Row],[action attribute]])</f>
        <v>About something unknown</v>
      </c>
    </row>
    <row r="92" spans="1:12" ht="16" x14ac:dyDescent="0.2">
      <c r="A92" s="1">
        <v>148755</v>
      </c>
      <c r="B92" s="2">
        <v>43754.899988425917</v>
      </c>
      <c r="C92" s="5" t="s">
        <v>101</v>
      </c>
      <c r="D92" t="s">
        <v>188</v>
      </c>
      <c r="H92" t="s">
        <v>212</v>
      </c>
      <c r="K92" t="s">
        <v>538</v>
      </c>
      <c r="L92" t="str">
        <f>getIntent(Table2[[#This Row],[action]],Table2[[#This Row],[product family]],Table2[[#This Row],[detailed product]],Table2[[#This Row],[action attribute]])</f>
        <v>Client needs information about something unknown</v>
      </c>
    </row>
    <row r="93" spans="1:12" ht="16" x14ac:dyDescent="0.2">
      <c r="A93" s="1">
        <v>149655</v>
      </c>
      <c r="B93" s="2">
        <v>43754.480810185189</v>
      </c>
      <c r="C93" s="5" t="s">
        <v>43</v>
      </c>
      <c r="D93" s="18" t="s">
        <v>170</v>
      </c>
      <c r="E93" s="18"/>
      <c r="F93" s="18"/>
      <c r="G93" s="18"/>
      <c r="H93" s="18"/>
      <c r="I93" s="18"/>
      <c r="L93" t="str">
        <f>getIntent(Table2[[#This Row],[action]],Table2[[#This Row],[product family]],Table2[[#This Row],[detailed product]],Table2[[#This Row],[action attribute]])</f>
        <v>About an unspecified loan</v>
      </c>
    </row>
    <row r="94" spans="1:12" ht="16" x14ac:dyDescent="0.2">
      <c r="A94" s="1">
        <v>147980</v>
      </c>
      <c r="B94" s="2">
        <v>43754.386435185188</v>
      </c>
      <c r="C94" s="5" t="s">
        <v>91</v>
      </c>
      <c r="D94" t="s">
        <v>188</v>
      </c>
      <c r="F94" t="s">
        <v>210</v>
      </c>
      <c r="H94" t="s">
        <v>174</v>
      </c>
      <c r="L94" t="str">
        <f>getIntent(Table2[[#This Row],[action]],Table2[[#This Row],[product family]],Table2[[#This Row],[detailed product]],Table2[[#This Row],[action attribute]])</f>
        <v>Client wants to change something unknown</v>
      </c>
    </row>
    <row r="95" spans="1:12" ht="16" x14ac:dyDescent="0.2">
      <c r="A95" s="1">
        <v>148677</v>
      </c>
      <c r="B95" s="2">
        <v>43754.30841435185</v>
      </c>
      <c r="C95" s="5" t="s">
        <v>38</v>
      </c>
      <c r="D95" s="17" t="s">
        <v>188</v>
      </c>
      <c r="E95" s="17"/>
      <c r="F95" s="17"/>
      <c r="G95" s="17"/>
      <c r="H95" s="17" t="s">
        <v>212</v>
      </c>
      <c r="I95" s="17"/>
      <c r="K95" t="s">
        <v>538</v>
      </c>
      <c r="L95" t="str">
        <f>getIntent(Table2[[#This Row],[action]],Table2[[#This Row],[product family]],Table2[[#This Row],[detailed product]],Table2[[#This Row],[action attribute]])</f>
        <v>Client needs information about something unknown</v>
      </c>
    </row>
    <row r="96" spans="1:12" ht="32" x14ac:dyDescent="0.2">
      <c r="A96" s="1">
        <v>148316</v>
      </c>
      <c r="B96" s="2">
        <v>43754.149456018517</v>
      </c>
      <c r="C96" s="5" t="s">
        <v>41</v>
      </c>
      <c r="D96" s="17" t="s">
        <v>140</v>
      </c>
      <c r="E96" s="17"/>
      <c r="F96" s="17"/>
      <c r="G96" s="17"/>
      <c r="H96" s="17" t="s">
        <v>212</v>
      </c>
      <c r="I96" s="17" t="s">
        <v>193</v>
      </c>
      <c r="L96" t="str">
        <f>getIntent(Table2[[#This Row],[action]],Table2[[#This Row],[product family]],Table2[[#This Row],[detailed product]],Table2[[#This Row],[action attribute]])</f>
        <v>Client needs information about the not approved for an unspecified account</v>
      </c>
    </row>
    <row r="97" spans="1:12" ht="16" x14ac:dyDescent="0.2">
      <c r="A97" s="1">
        <v>188593</v>
      </c>
      <c r="B97" s="2">
        <v>43753.672129629631</v>
      </c>
      <c r="C97" s="5" t="s">
        <v>8</v>
      </c>
      <c r="D97" s="18" t="s">
        <v>188</v>
      </c>
      <c r="E97" s="18" t="s">
        <v>188</v>
      </c>
      <c r="F97" s="18" t="s">
        <v>188</v>
      </c>
      <c r="G97" s="18" t="s">
        <v>188</v>
      </c>
      <c r="H97" s="18" t="s">
        <v>188</v>
      </c>
      <c r="I97" s="18" t="s">
        <v>188</v>
      </c>
      <c r="J97" t="s">
        <v>536</v>
      </c>
      <c r="L97" t="str">
        <f>getIntent(Table2[[#This Row],[action]],Table2[[#This Row],[product family]],Table2[[#This Row],[detailed product]],Table2[[#This Row],[action attribute]])</f>
        <v>About something unknown</v>
      </c>
    </row>
    <row r="98" spans="1:12" ht="16" x14ac:dyDescent="0.2">
      <c r="A98" s="1">
        <v>187610</v>
      </c>
      <c r="B98" s="2">
        <v>43753.298252314817</v>
      </c>
      <c r="C98" s="5" t="s">
        <v>30</v>
      </c>
      <c r="D98" t="s">
        <v>188</v>
      </c>
      <c r="E98" t="s">
        <v>188</v>
      </c>
      <c r="F98" t="s">
        <v>188</v>
      </c>
      <c r="G98" t="s">
        <v>188</v>
      </c>
      <c r="H98" t="s">
        <v>188</v>
      </c>
      <c r="I98" t="s">
        <v>188</v>
      </c>
      <c r="J98" t="s">
        <v>530</v>
      </c>
      <c r="L98" t="str">
        <f>getIntent(Table2[[#This Row],[action]],Table2[[#This Row],[product family]],Table2[[#This Row],[detailed product]],Table2[[#This Row],[action attribute]])</f>
        <v>About something unknown</v>
      </c>
    </row>
    <row r="99" spans="1:12" ht="16" x14ac:dyDescent="0.2">
      <c r="A99" s="1">
        <v>187556</v>
      </c>
      <c r="B99" s="2">
        <v>43753.233726851853</v>
      </c>
      <c r="C99" s="5" t="s">
        <v>24</v>
      </c>
      <c r="D99" t="s">
        <v>140</v>
      </c>
      <c r="H99" t="s">
        <v>192</v>
      </c>
      <c r="I99" t="s">
        <v>193</v>
      </c>
      <c r="L99" t="str">
        <f>getIntent(Table2[[#This Row],[action]],Table2[[#This Row],[product family]],Table2[[#This Row],[detailed product]],Table2[[#This Row],[action attribute]])</f>
        <v>Client wants to check the not approved for an unspecified account</v>
      </c>
    </row>
    <row r="100" spans="1:12" ht="16" x14ac:dyDescent="0.2">
      <c r="A100" s="1">
        <v>186661</v>
      </c>
      <c r="B100" s="2">
        <v>43753.160474537042</v>
      </c>
      <c r="C100" s="5" t="s">
        <v>56</v>
      </c>
      <c r="D100" s="18" t="s">
        <v>188</v>
      </c>
      <c r="E100" s="18"/>
      <c r="F100" s="18"/>
      <c r="G100" s="18"/>
      <c r="H100" s="18" t="s">
        <v>212</v>
      </c>
      <c r="I100" s="18" t="s">
        <v>548</v>
      </c>
      <c r="L100" t="str">
        <f>getIntent(Table2[[#This Row],[action]],Table2[[#This Row],[product family]],Table2[[#This Row],[detailed product]],Table2[[#This Row],[action attribute]])</f>
        <v>Client needs information about the id means for something unknown</v>
      </c>
    </row>
    <row r="101" spans="1:12" ht="16" x14ac:dyDescent="0.2">
      <c r="A101" s="1">
        <v>194982</v>
      </c>
      <c r="B101" s="2">
        <v>43752.582303240742</v>
      </c>
      <c r="C101" s="5" t="s">
        <v>122</v>
      </c>
      <c r="D101" t="s">
        <v>188</v>
      </c>
      <c r="E101" t="s">
        <v>188</v>
      </c>
      <c r="F101" t="s">
        <v>188</v>
      </c>
      <c r="G101" t="s">
        <v>188</v>
      </c>
      <c r="H101" t="s">
        <v>188</v>
      </c>
      <c r="I101" t="s">
        <v>188</v>
      </c>
      <c r="J101" t="s">
        <v>555</v>
      </c>
      <c r="L101" t="str">
        <f>getIntent(Table2[[#This Row],[action]],Table2[[#This Row],[product family]],Table2[[#This Row],[detailed product]],Table2[[#This Row],[action attribute]])</f>
        <v>About something unknown</v>
      </c>
    </row>
    <row r="102" spans="1:12" ht="32" x14ac:dyDescent="0.2">
      <c r="A102" s="1">
        <v>195074</v>
      </c>
      <c r="B102" s="2">
        <v>43752.56181712963</v>
      </c>
      <c r="C102" s="5" t="s">
        <v>118</v>
      </c>
      <c r="D102" s="18" t="s">
        <v>188</v>
      </c>
      <c r="E102" s="18"/>
      <c r="F102" s="18" t="s">
        <v>354</v>
      </c>
      <c r="G102" s="18"/>
      <c r="H102" s="18" t="s">
        <v>192</v>
      </c>
      <c r="K102" t="s">
        <v>550</v>
      </c>
      <c r="L102" t="str">
        <f>getIntent(Table2[[#This Row],[action]],Table2[[#This Row],[product family]],Table2[[#This Row],[detailed product]],Table2[[#This Row],[action attribute]])</f>
        <v>Client wants to check something unknown</v>
      </c>
    </row>
    <row r="103" spans="1:12" ht="16" x14ac:dyDescent="0.2">
      <c r="A103" s="1">
        <v>195177</v>
      </c>
      <c r="B103" s="2">
        <v>43752.543055555558</v>
      </c>
      <c r="C103" s="5" t="s">
        <v>48</v>
      </c>
      <c r="D103" s="18" t="s">
        <v>188</v>
      </c>
      <c r="E103" s="18"/>
      <c r="F103" s="18"/>
      <c r="G103" s="18"/>
      <c r="H103" s="18" t="s">
        <v>192</v>
      </c>
      <c r="I103" s="18"/>
      <c r="L103" t="str">
        <f>getIntent(Table2[[#This Row],[action]],Table2[[#This Row],[product family]],Table2[[#This Row],[detailed product]],Table2[[#This Row],[action attribute]])</f>
        <v>Client wants to check something unknown</v>
      </c>
    </row>
    <row r="104" spans="1:12" ht="16" x14ac:dyDescent="0.2">
      <c r="A104" s="1">
        <v>193540</v>
      </c>
      <c r="B104" s="2">
        <v>43752.448333333326</v>
      </c>
      <c r="C104" s="5" t="s">
        <v>5</v>
      </c>
      <c r="D104" s="17" t="s">
        <v>188</v>
      </c>
      <c r="E104" s="17" t="s">
        <v>188</v>
      </c>
      <c r="F104" s="17" t="s">
        <v>188</v>
      </c>
      <c r="G104" s="17" t="s">
        <v>188</v>
      </c>
      <c r="H104" s="17" t="s">
        <v>188</v>
      </c>
      <c r="I104" s="17" t="s">
        <v>188</v>
      </c>
      <c r="J104" t="s">
        <v>530</v>
      </c>
      <c r="L104" t="str">
        <f>getIntent(Table2[[#This Row],[action]],Table2[[#This Row],[product family]],Table2[[#This Row],[detailed product]],Table2[[#This Row],[action attribute]])</f>
        <v>About something unknown</v>
      </c>
    </row>
    <row r="105" spans="1:12" ht="32" x14ac:dyDescent="0.2">
      <c r="A105" s="1">
        <v>194396</v>
      </c>
      <c r="B105" s="2">
        <v>43752.34646990741</v>
      </c>
      <c r="C105" s="5" t="s">
        <v>11</v>
      </c>
      <c r="D105" s="18" t="s">
        <v>188</v>
      </c>
      <c r="E105" s="18"/>
      <c r="F105" s="18"/>
      <c r="G105" s="18"/>
      <c r="H105" s="18" t="s">
        <v>236</v>
      </c>
      <c r="I105" t="s">
        <v>539</v>
      </c>
      <c r="L105" t="str">
        <f>getIntent(Table2[[#This Row],[action]],Table2[[#This Row],[product family]],Table2[[#This Row],[detailed product]],Table2[[#This Row],[action attribute]])</f>
        <v>Client wants to replace the driving license for something unknown</v>
      </c>
    </row>
    <row r="106" spans="1:12" ht="32" x14ac:dyDescent="0.2">
      <c r="A106" s="1">
        <v>192759</v>
      </c>
      <c r="B106" s="2">
        <v>43752.270219907397</v>
      </c>
      <c r="C106" s="5" t="s">
        <v>42</v>
      </c>
      <c r="D106" s="18" t="s">
        <v>182</v>
      </c>
      <c r="E106" s="18"/>
      <c r="F106" s="18"/>
      <c r="G106" s="18"/>
      <c r="H106" s="18" t="s">
        <v>192</v>
      </c>
      <c r="I106" s="18" t="s">
        <v>208</v>
      </c>
      <c r="L106" t="str">
        <f>getIntent(Table2[[#This Row],[action]],Table2[[#This Row],[product family]],Table2[[#This Row],[detailed product]],Table2[[#This Row],[action attribute]])</f>
        <v>Client wants to check the not retrieved for an unspecified payment</v>
      </c>
    </row>
    <row r="107" spans="1:12" ht="16" x14ac:dyDescent="0.2">
      <c r="A107" s="1">
        <v>193969</v>
      </c>
      <c r="B107" s="2">
        <v>43752.244479166657</v>
      </c>
      <c r="C107" s="5" t="s">
        <v>93</v>
      </c>
      <c r="D107" s="17" t="s">
        <v>188</v>
      </c>
      <c r="E107" s="17"/>
      <c r="F107" s="17"/>
      <c r="G107" s="17"/>
      <c r="H107" s="17"/>
      <c r="I107" s="17"/>
      <c r="J107" t="s">
        <v>192</v>
      </c>
      <c r="L107" t="str">
        <f>getIntent(Table2[[#This Row],[action]],Table2[[#This Row],[product family]],Table2[[#This Row],[detailed product]],Table2[[#This Row],[action attribute]])</f>
        <v>About something unknown</v>
      </c>
    </row>
    <row r="108" spans="1:12" ht="16" x14ac:dyDescent="0.2">
      <c r="A108" s="1">
        <v>194353</v>
      </c>
      <c r="B108" s="2">
        <v>43752.029247685183</v>
      </c>
      <c r="C108" s="5" t="s">
        <v>30</v>
      </c>
      <c r="D108" s="17" t="s">
        <v>188</v>
      </c>
      <c r="E108" s="17" t="s">
        <v>188</v>
      </c>
      <c r="F108" s="17" t="s">
        <v>188</v>
      </c>
      <c r="G108" s="17" t="s">
        <v>188</v>
      </c>
      <c r="H108" s="17" t="s">
        <v>188</v>
      </c>
      <c r="I108" s="17" t="s">
        <v>188</v>
      </c>
      <c r="J108" t="s">
        <v>530</v>
      </c>
      <c r="L108" t="str">
        <f>getIntent(Table2[[#This Row],[action]],Table2[[#This Row],[product family]],Table2[[#This Row],[detailed product]],Table2[[#This Row],[action attribute]])</f>
        <v>About something unknown</v>
      </c>
    </row>
    <row r="109" spans="1:12" ht="16" x14ac:dyDescent="0.2">
      <c r="A109" s="1">
        <v>191027</v>
      </c>
      <c r="B109" s="2">
        <v>43751.902615740742</v>
      </c>
      <c r="C109" s="5" t="s">
        <v>70</v>
      </c>
      <c r="D109" s="17" t="s">
        <v>188</v>
      </c>
      <c r="E109" s="17" t="s">
        <v>188</v>
      </c>
      <c r="F109" s="17" t="s">
        <v>188</v>
      </c>
      <c r="G109" s="17" t="s">
        <v>188</v>
      </c>
      <c r="H109" s="17" t="s">
        <v>188</v>
      </c>
      <c r="I109" s="17" t="s">
        <v>188</v>
      </c>
      <c r="J109" t="s">
        <v>530</v>
      </c>
      <c r="L109" t="str">
        <f>getIntent(Table2[[#This Row],[action]],Table2[[#This Row],[product family]],Table2[[#This Row],[detailed product]],Table2[[#This Row],[action attribute]])</f>
        <v>About something unknown</v>
      </c>
    </row>
    <row r="110" spans="1:12" ht="32" x14ac:dyDescent="0.2">
      <c r="A110" s="1">
        <v>190465</v>
      </c>
      <c r="B110" s="2">
        <v>43750.721782407411</v>
      </c>
      <c r="C110" s="5" t="s">
        <v>128</v>
      </c>
      <c r="D110" s="16" t="s">
        <v>182</v>
      </c>
      <c r="E110" s="16"/>
      <c r="F110" s="16"/>
      <c r="G110" s="16"/>
      <c r="H110" s="16" t="s">
        <v>192</v>
      </c>
      <c r="I110" s="16" t="s">
        <v>208</v>
      </c>
      <c r="L110" t="str">
        <f>getIntent(Table2[[#This Row],[action]],Table2[[#This Row],[product family]],Table2[[#This Row],[detailed product]],Table2[[#This Row],[action attribute]])</f>
        <v>Client wants to check the not retrieved for an unspecified payment</v>
      </c>
    </row>
    <row r="111" spans="1:12" ht="16" x14ac:dyDescent="0.2">
      <c r="A111" s="1">
        <v>190206</v>
      </c>
      <c r="B111" s="2">
        <v>43750.340046296304</v>
      </c>
      <c r="C111" s="5" t="s">
        <v>106</v>
      </c>
      <c r="D111" s="18" t="s">
        <v>170</v>
      </c>
      <c r="E111" s="18"/>
      <c r="F111" s="18"/>
      <c r="G111" s="18"/>
      <c r="H111" s="18" t="s">
        <v>212</v>
      </c>
      <c r="I111" s="18"/>
      <c r="L111" t="str">
        <f>getIntent(Table2[[#This Row],[action]],Table2[[#This Row],[product family]],Table2[[#This Row],[detailed product]],Table2[[#This Row],[action attribute]])</f>
        <v>Client needs information about an unspecified loan</v>
      </c>
    </row>
    <row r="112" spans="1:12" ht="16" x14ac:dyDescent="0.2">
      <c r="A112" s="1">
        <v>144153</v>
      </c>
      <c r="B112" s="2">
        <v>43749.197453703702</v>
      </c>
      <c r="C112" s="5" t="s">
        <v>127</v>
      </c>
      <c r="D112" s="18" t="s">
        <v>140</v>
      </c>
      <c r="E112" s="18"/>
      <c r="F112" s="18"/>
      <c r="G112" s="18"/>
      <c r="H112" s="18" t="s">
        <v>192</v>
      </c>
      <c r="I112" s="18"/>
      <c r="J112" t="s">
        <v>565</v>
      </c>
      <c r="L112" t="str">
        <f>getIntent(Table2[[#This Row],[action]],Table2[[#This Row],[product family]],Table2[[#This Row],[detailed product]],Table2[[#This Row],[action attribute]])</f>
        <v>Client wants to check an unspecified account</v>
      </c>
    </row>
    <row r="113" spans="1:12" ht="16" x14ac:dyDescent="0.2">
      <c r="A113" s="1">
        <v>158086</v>
      </c>
      <c r="B113" s="2">
        <v>43748.909895833327</v>
      </c>
      <c r="C113" s="5" t="s">
        <v>36</v>
      </c>
      <c r="D113" s="17" t="s">
        <v>188</v>
      </c>
      <c r="E113" s="17" t="s">
        <v>188</v>
      </c>
      <c r="F113" s="17" t="s">
        <v>188</v>
      </c>
      <c r="G113" s="17" t="s">
        <v>188</v>
      </c>
      <c r="H113" s="17" t="s">
        <v>188</v>
      </c>
      <c r="I113" s="17" t="s">
        <v>188</v>
      </c>
      <c r="J113" t="s">
        <v>530</v>
      </c>
      <c r="L113" t="str">
        <f>getIntent(Table2[[#This Row],[action]],Table2[[#This Row],[product family]],Table2[[#This Row],[detailed product]],Table2[[#This Row],[action attribute]])</f>
        <v>About something unknown</v>
      </c>
    </row>
    <row r="114" spans="1:12" ht="16" x14ac:dyDescent="0.2">
      <c r="A114" s="1">
        <v>157415</v>
      </c>
      <c r="B114" s="2">
        <v>43748.778831018521</v>
      </c>
      <c r="C114" s="5" t="s">
        <v>19</v>
      </c>
      <c r="D114" s="18" t="s">
        <v>188</v>
      </c>
      <c r="E114" s="18" t="s">
        <v>188</v>
      </c>
      <c r="F114" s="18" t="s">
        <v>188</v>
      </c>
      <c r="G114" s="18" t="s">
        <v>188</v>
      </c>
      <c r="H114" s="18" t="s">
        <v>188</v>
      </c>
      <c r="I114" s="18" t="s">
        <v>188</v>
      </c>
      <c r="J114" t="s">
        <v>530</v>
      </c>
      <c r="L114" t="str">
        <f>getIntent(Table2[[#This Row],[action]],Table2[[#This Row],[product family]],Table2[[#This Row],[detailed product]],Table2[[#This Row],[action attribute]])</f>
        <v>About something unknown</v>
      </c>
    </row>
    <row r="115" spans="1:12" ht="32" x14ac:dyDescent="0.2">
      <c r="A115" s="1">
        <v>155805</v>
      </c>
      <c r="B115" s="2">
        <v>43748.581574074073</v>
      </c>
      <c r="C115" s="5" t="s">
        <v>119</v>
      </c>
      <c r="D115" s="16" t="s">
        <v>140</v>
      </c>
      <c r="E115" s="16"/>
      <c r="F115" s="16"/>
      <c r="G115" s="16"/>
      <c r="H115" s="16" t="s">
        <v>192</v>
      </c>
      <c r="I115" s="16" t="s">
        <v>193</v>
      </c>
      <c r="L115" t="str">
        <f>getIntent(Table2[[#This Row],[action]],Table2[[#This Row],[product family]],Table2[[#This Row],[detailed product]],Table2[[#This Row],[action attribute]])</f>
        <v>Client wants to check the not approved for an unspecified account</v>
      </c>
    </row>
    <row r="116" spans="1:12" ht="32" x14ac:dyDescent="0.2">
      <c r="A116" s="1">
        <v>156459</v>
      </c>
      <c r="B116" s="2">
        <v>43748.357986111107</v>
      </c>
      <c r="C116" s="5" t="s">
        <v>103</v>
      </c>
      <c r="D116" s="16" t="s">
        <v>182</v>
      </c>
      <c r="E116" s="16"/>
      <c r="F116" s="16"/>
      <c r="G116" s="16"/>
      <c r="H116" s="16" t="s">
        <v>212</v>
      </c>
      <c r="I116" s="16" t="s">
        <v>541</v>
      </c>
      <c r="L116" t="str">
        <f>getIntent(Table2[[#This Row],[action]],Table2[[#This Row],[product family]],Table2[[#This Row],[detailed product]],Table2[[#This Row],[action attribute]])</f>
        <v>Client needs information about the time for an unspecified payment</v>
      </c>
    </row>
    <row r="117" spans="1:12" ht="48" x14ac:dyDescent="0.2">
      <c r="A117" s="1">
        <v>157205</v>
      </c>
      <c r="B117" s="2">
        <v>43748.237337962957</v>
      </c>
      <c r="C117" s="5" t="s">
        <v>130</v>
      </c>
      <c r="D117" s="16" t="s">
        <v>182</v>
      </c>
      <c r="E117" s="16"/>
      <c r="F117" s="16"/>
      <c r="G117" s="16"/>
      <c r="H117" s="16" t="s">
        <v>212</v>
      </c>
      <c r="I117" s="16"/>
      <c r="K117" t="s">
        <v>545</v>
      </c>
      <c r="L117" t="str">
        <f>getIntent(Table2[[#This Row],[action]],Table2[[#This Row],[product family]],Table2[[#This Row],[detailed product]],Table2[[#This Row],[action attribute]])</f>
        <v>Client needs information about an unspecified payment</v>
      </c>
    </row>
    <row r="118" spans="1:12" ht="16" x14ac:dyDescent="0.2">
      <c r="A118" s="1">
        <v>156274</v>
      </c>
      <c r="B118" s="2">
        <v>43748.230486111112</v>
      </c>
      <c r="C118" s="5" t="s">
        <v>83</v>
      </c>
      <c r="D118" t="s">
        <v>188</v>
      </c>
      <c r="E118" t="s">
        <v>188</v>
      </c>
      <c r="F118" t="s">
        <v>188</v>
      </c>
      <c r="G118" t="s">
        <v>188</v>
      </c>
      <c r="H118" t="s">
        <v>188</v>
      </c>
      <c r="I118" t="s">
        <v>188</v>
      </c>
      <c r="J118" t="s">
        <v>530</v>
      </c>
      <c r="L118" t="str">
        <f>getIntent(Table2[[#This Row],[action]],Table2[[#This Row],[product family]],Table2[[#This Row],[detailed product]],Table2[[#This Row],[action attribute]])</f>
        <v>About something unknown</v>
      </c>
    </row>
    <row r="119" spans="1:12" ht="48" x14ac:dyDescent="0.2">
      <c r="A119" s="1">
        <v>155088</v>
      </c>
      <c r="B119" s="2">
        <v>43748.226342592592</v>
      </c>
      <c r="C119" s="5" t="s">
        <v>61</v>
      </c>
      <c r="D119" s="17" t="s">
        <v>188</v>
      </c>
      <c r="E119" s="17" t="s">
        <v>188</v>
      </c>
      <c r="F119" s="17" t="s">
        <v>188</v>
      </c>
      <c r="G119" s="17" t="s">
        <v>188</v>
      </c>
      <c r="H119" s="17" t="s">
        <v>188</v>
      </c>
      <c r="I119" s="17" t="s">
        <v>188</v>
      </c>
      <c r="J119" t="s">
        <v>536</v>
      </c>
      <c r="L119" t="str">
        <f>getIntent(Table2[[#This Row],[action]],Table2[[#This Row],[product family]],Table2[[#This Row],[detailed product]],Table2[[#This Row],[action attribute]])</f>
        <v>About something unknown</v>
      </c>
    </row>
    <row r="120" spans="1:12" ht="16" x14ac:dyDescent="0.2">
      <c r="A120" s="1">
        <v>157245</v>
      </c>
      <c r="B120" s="2">
        <v>43748.181979166657</v>
      </c>
      <c r="C120" s="5" t="s">
        <v>122</v>
      </c>
      <c r="D120" s="18" t="s">
        <v>188</v>
      </c>
      <c r="E120" s="18" t="s">
        <v>188</v>
      </c>
      <c r="F120" s="18" t="s">
        <v>188</v>
      </c>
      <c r="G120" s="18" t="s">
        <v>188</v>
      </c>
      <c r="H120" s="18" t="s">
        <v>188</v>
      </c>
      <c r="I120" s="18" t="s">
        <v>188</v>
      </c>
      <c r="J120" t="s">
        <v>555</v>
      </c>
      <c r="L120" t="str">
        <f>getIntent(Table2[[#This Row],[action]],Table2[[#This Row],[product family]],Table2[[#This Row],[detailed product]],Table2[[#This Row],[action attribute]])</f>
        <v>About something unknown</v>
      </c>
    </row>
    <row r="121" spans="1:12" ht="16" x14ac:dyDescent="0.2">
      <c r="A121" s="1">
        <v>155876</v>
      </c>
      <c r="B121" s="2">
        <v>43748.163136574083</v>
      </c>
      <c r="C121" s="5" t="s">
        <v>30</v>
      </c>
      <c r="D121" s="17" t="s">
        <v>188</v>
      </c>
      <c r="E121" s="17" t="s">
        <v>188</v>
      </c>
      <c r="F121" s="17" t="s">
        <v>188</v>
      </c>
      <c r="G121" s="17" t="s">
        <v>188</v>
      </c>
      <c r="H121" s="17" t="s">
        <v>188</v>
      </c>
      <c r="I121" s="17" t="s">
        <v>188</v>
      </c>
      <c r="J121" t="s">
        <v>530</v>
      </c>
      <c r="L121" t="str">
        <f>getIntent(Table2[[#This Row],[action]],Table2[[#This Row],[product family]],Table2[[#This Row],[detailed product]],Table2[[#This Row],[action attribute]])</f>
        <v>About something unknown</v>
      </c>
    </row>
    <row r="122" spans="1:12" ht="32" x14ac:dyDescent="0.2">
      <c r="A122" s="1">
        <v>157572</v>
      </c>
      <c r="B122" s="2">
        <v>43748.024502314824</v>
      </c>
      <c r="C122" s="5" t="s">
        <v>40</v>
      </c>
      <c r="D122" t="s">
        <v>182</v>
      </c>
      <c r="H122" t="s">
        <v>192</v>
      </c>
      <c r="I122" t="s">
        <v>208</v>
      </c>
      <c r="L122" t="str">
        <f>getIntent(Table2[[#This Row],[action]],Table2[[#This Row],[product family]],Table2[[#This Row],[detailed product]],Table2[[#This Row],[action attribute]])</f>
        <v>Client wants to check the not retrieved for an unspecified payment</v>
      </c>
    </row>
    <row r="123" spans="1:12" ht="32" x14ac:dyDescent="0.2">
      <c r="A123" s="1">
        <v>168793</v>
      </c>
      <c r="B123" s="2">
        <v>43747.682615740741</v>
      </c>
      <c r="C123" s="5" t="s">
        <v>108</v>
      </c>
      <c r="D123" s="16" t="s">
        <v>188</v>
      </c>
      <c r="E123" s="16"/>
      <c r="F123" s="16"/>
      <c r="G123" s="16"/>
      <c r="H123" s="16" t="s">
        <v>212</v>
      </c>
      <c r="I123" s="16" t="s">
        <v>548</v>
      </c>
      <c r="L123" t="str">
        <f>getIntent(Table2[[#This Row],[action]],Table2[[#This Row],[product family]],Table2[[#This Row],[detailed product]],Table2[[#This Row],[action attribute]])</f>
        <v>Client needs information about the id means for something unknown</v>
      </c>
    </row>
    <row r="124" spans="1:12" ht="112" x14ac:dyDescent="0.2">
      <c r="A124" s="1">
        <v>169089</v>
      </c>
      <c r="B124" s="2">
        <v>43747.557881944442</v>
      </c>
      <c r="C124" s="5" t="s">
        <v>94</v>
      </c>
      <c r="D124" s="16" t="s">
        <v>182</v>
      </c>
      <c r="E124" s="16"/>
      <c r="F124" s="16"/>
      <c r="G124" s="16"/>
      <c r="H124" s="16" t="s">
        <v>192</v>
      </c>
      <c r="I124" s="16" t="s">
        <v>208</v>
      </c>
      <c r="L124" t="str">
        <f>getIntent(Table2[[#This Row],[action]],Table2[[#This Row],[product family]],Table2[[#This Row],[detailed product]],Table2[[#This Row],[action attribute]])</f>
        <v>Client wants to check the not retrieved for an unspecified payment</v>
      </c>
    </row>
    <row r="125" spans="1:12" ht="32" x14ac:dyDescent="0.2">
      <c r="A125" s="1">
        <v>168726</v>
      </c>
      <c r="B125" s="2">
        <v>43747.545567129629</v>
      </c>
      <c r="C125" s="5" t="s">
        <v>49</v>
      </c>
      <c r="D125" s="18" t="s">
        <v>140</v>
      </c>
      <c r="E125" s="18"/>
      <c r="F125" s="18"/>
      <c r="G125" s="18"/>
      <c r="H125" s="18" t="s">
        <v>192</v>
      </c>
      <c r="I125" s="18" t="s">
        <v>193</v>
      </c>
      <c r="L125" t="str">
        <f>getIntent(Table2[[#This Row],[action]],Table2[[#This Row],[product family]],Table2[[#This Row],[detailed product]],Table2[[#This Row],[action attribute]])</f>
        <v>Client wants to check the not approved for an unspecified account</v>
      </c>
    </row>
    <row r="126" spans="1:12" ht="16" x14ac:dyDescent="0.2">
      <c r="A126" s="1">
        <v>167786</v>
      </c>
      <c r="B126" s="2">
        <v>43747.535324074073</v>
      </c>
      <c r="C126" s="5" t="s">
        <v>29</v>
      </c>
      <c r="D126" t="s">
        <v>188</v>
      </c>
      <c r="E126" t="s">
        <v>188</v>
      </c>
      <c r="F126" t="s">
        <v>188</v>
      </c>
      <c r="G126" t="s">
        <v>188</v>
      </c>
      <c r="H126" t="s">
        <v>188</v>
      </c>
      <c r="I126" t="s">
        <v>188</v>
      </c>
      <c r="J126" t="s">
        <v>530</v>
      </c>
      <c r="L126" t="str">
        <f>getIntent(Table2[[#This Row],[action]],Table2[[#This Row],[product family]],Table2[[#This Row],[detailed product]],Table2[[#This Row],[action attribute]])</f>
        <v>About something unknown</v>
      </c>
    </row>
    <row r="127" spans="1:12" ht="16" x14ac:dyDescent="0.2">
      <c r="A127" s="1">
        <v>168278</v>
      </c>
      <c r="B127" s="2">
        <v>43747.455138888887</v>
      </c>
      <c r="C127" s="5" t="s">
        <v>124</v>
      </c>
      <c r="D127" s="18" t="s">
        <v>182</v>
      </c>
      <c r="E127" s="18"/>
      <c r="F127" s="18"/>
      <c r="G127" s="18"/>
      <c r="H127" s="18" t="s">
        <v>212</v>
      </c>
      <c r="I127" s="18"/>
      <c r="L127" t="str">
        <f>getIntent(Table2[[#This Row],[action]],Table2[[#This Row],[product family]],Table2[[#This Row],[detailed product]],Table2[[#This Row],[action attribute]])</f>
        <v>Client needs information about an unspecified payment</v>
      </c>
    </row>
    <row r="128" spans="1:12" ht="16" x14ac:dyDescent="0.2">
      <c r="A128" s="1">
        <v>168568</v>
      </c>
      <c r="B128" s="2">
        <v>43746.974733796298</v>
      </c>
      <c r="C128" s="5" t="s">
        <v>88</v>
      </c>
      <c r="D128" t="s">
        <v>188</v>
      </c>
      <c r="E128" t="s">
        <v>188</v>
      </c>
      <c r="F128" t="s">
        <v>188</v>
      </c>
      <c r="G128" t="s">
        <v>188</v>
      </c>
      <c r="H128" t="s">
        <v>188</v>
      </c>
      <c r="I128" t="s">
        <v>188</v>
      </c>
      <c r="J128" t="s">
        <v>553</v>
      </c>
      <c r="L128" t="str">
        <f>getIntent(Table2[[#This Row],[action]],Table2[[#This Row],[product family]],Table2[[#This Row],[detailed product]],Table2[[#This Row],[action attribute]])</f>
        <v>About something unknown</v>
      </c>
    </row>
    <row r="129" spans="1:12" ht="16" x14ac:dyDescent="0.2">
      <c r="A129" s="1">
        <v>176892</v>
      </c>
      <c r="B129" s="2">
        <v>43746.458043981482</v>
      </c>
      <c r="C129" s="5" t="s">
        <v>18</v>
      </c>
      <c r="D129" s="18" t="s">
        <v>188</v>
      </c>
      <c r="E129" s="18" t="s">
        <v>188</v>
      </c>
      <c r="F129" s="18" t="s">
        <v>188</v>
      </c>
      <c r="G129" s="18" t="s">
        <v>188</v>
      </c>
      <c r="H129" s="18" t="s">
        <v>188</v>
      </c>
      <c r="I129" s="18" t="s">
        <v>188</v>
      </c>
      <c r="J129" t="s">
        <v>543</v>
      </c>
      <c r="L129" t="str">
        <f>getIntent(Table2[[#This Row],[action]],Table2[[#This Row],[product family]],Table2[[#This Row],[detailed product]],Table2[[#This Row],[action attribute]])</f>
        <v>About something unknown</v>
      </c>
    </row>
    <row r="130" spans="1:12" ht="32" x14ac:dyDescent="0.2">
      <c r="A130" s="1">
        <v>176342</v>
      </c>
      <c r="B130" s="2">
        <v>43745.961898148147</v>
      </c>
      <c r="C130" s="5" t="s">
        <v>21</v>
      </c>
      <c r="D130" s="17" t="s">
        <v>140</v>
      </c>
      <c r="E130" s="17"/>
      <c r="F130" s="17"/>
      <c r="G130" s="17"/>
      <c r="H130" s="17" t="s">
        <v>212</v>
      </c>
      <c r="I130" s="17"/>
      <c r="L130" t="str">
        <f>getIntent(Table2[[#This Row],[action]],Table2[[#This Row],[product family]],Table2[[#This Row],[detailed product]],Table2[[#This Row],[action attribute]])</f>
        <v>Client needs information about an unspecified account</v>
      </c>
    </row>
    <row r="131" spans="1:12" ht="64" x14ac:dyDescent="0.2">
      <c r="A131" s="1">
        <v>166390</v>
      </c>
      <c r="B131" s="2">
        <v>43745.704305555562</v>
      </c>
      <c r="C131" s="5" t="s">
        <v>66</v>
      </c>
      <c r="D131" s="18" t="s">
        <v>188</v>
      </c>
      <c r="E131" s="18"/>
      <c r="F131" s="18" t="s">
        <v>210</v>
      </c>
      <c r="G131" s="18"/>
      <c r="H131" s="18" t="s">
        <v>192</v>
      </c>
      <c r="I131" s="18"/>
      <c r="L131" t="str">
        <f>getIntent(Table2[[#This Row],[action]],Table2[[#This Row],[product family]],Table2[[#This Row],[detailed product]],Table2[[#This Row],[action attribute]])</f>
        <v>Client wants to check something unknown</v>
      </c>
    </row>
    <row r="132" spans="1:12" ht="16" x14ac:dyDescent="0.2">
      <c r="A132" s="1">
        <v>164028</v>
      </c>
      <c r="B132" s="2">
        <v>43744.962962962964</v>
      </c>
      <c r="C132" s="5" t="s">
        <v>86</v>
      </c>
      <c r="D132" t="s">
        <v>188</v>
      </c>
      <c r="J132" t="s">
        <v>562</v>
      </c>
      <c r="L132" t="str">
        <f>getIntent(Table2[[#This Row],[action]],Table2[[#This Row],[product family]],Table2[[#This Row],[detailed product]],Table2[[#This Row],[action attribute]])</f>
        <v>About something unknown</v>
      </c>
    </row>
    <row r="133" spans="1:12" ht="16" x14ac:dyDescent="0.2">
      <c r="A133" s="1">
        <v>179875</v>
      </c>
      <c r="B133" s="2">
        <v>43744.583495370367</v>
      </c>
      <c r="C133" s="5" t="s">
        <v>123</v>
      </c>
      <c r="D133" s="16" t="s">
        <v>182</v>
      </c>
      <c r="E133" s="16"/>
      <c r="F133" s="16"/>
      <c r="G133" s="16" t="s">
        <v>230</v>
      </c>
      <c r="H133" s="16" t="s">
        <v>192</v>
      </c>
      <c r="I133" t="s">
        <v>227</v>
      </c>
      <c r="L133" t="str">
        <f>getIntent(Table2[[#This Row],[action]],Table2[[#This Row],[product family]],Table2[[#This Row],[detailed product]],Table2[[#This Row],[action attribute]])</f>
        <v>Client wants to check the state_blocked for an unspecified payment</v>
      </c>
    </row>
    <row r="134" spans="1:12" ht="16" x14ac:dyDescent="0.2">
      <c r="A134" s="1">
        <v>179525</v>
      </c>
      <c r="B134" s="2">
        <v>43744.507245370369</v>
      </c>
      <c r="C134" s="5" t="s">
        <v>2</v>
      </c>
      <c r="D134" s="17" t="s">
        <v>182</v>
      </c>
      <c r="E134" s="17"/>
      <c r="F134" s="17"/>
      <c r="G134" s="17"/>
      <c r="H134" s="17"/>
      <c r="I134" s="17"/>
      <c r="L134" t="str">
        <f>getIntent(Table2[[#This Row],[action]],Table2[[#This Row],[product family]],Table2[[#This Row],[detailed product]],Table2[[#This Row],[action attribute]])</f>
        <v>About an unspecified payment</v>
      </c>
    </row>
    <row r="135" spans="1:12" ht="64" x14ac:dyDescent="0.2">
      <c r="A135" s="1">
        <v>180591</v>
      </c>
      <c r="B135" s="2">
        <v>43743.933252314811</v>
      </c>
      <c r="C135" s="5" t="s">
        <v>9</v>
      </c>
      <c r="D135" s="18" t="s">
        <v>140</v>
      </c>
      <c r="E135" s="18"/>
      <c r="F135" s="18"/>
      <c r="G135" s="18"/>
      <c r="H135" s="18" t="s">
        <v>192</v>
      </c>
      <c r="I135" s="18" t="s">
        <v>193</v>
      </c>
      <c r="L135" t="str">
        <f>getIntent(Table2[[#This Row],[action]],Table2[[#This Row],[product family]],Table2[[#This Row],[detailed product]],Table2[[#This Row],[action attribute]])</f>
        <v>Client wants to check the not approved for an unspecified account</v>
      </c>
    </row>
    <row r="136" spans="1:12" ht="16" x14ac:dyDescent="0.2">
      <c r="A136" s="1">
        <v>131133</v>
      </c>
      <c r="B136" s="2">
        <v>43742.75445601852</v>
      </c>
      <c r="C136" s="5" t="s">
        <v>117</v>
      </c>
      <c r="D136" s="17" t="s">
        <v>188</v>
      </c>
      <c r="E136" s="17"/>
      <c r="F136" s="17" t="s">
        <v>354</v>
      </c>
      <c r="G136" s="17"/>
      <c r="H136" s="17"/>
      <c r="I136" s="17"/>
      <c r="L136" t="str">
        <f>getIntent(Table2[[#This Row],[action]],Table2[[#This Row],[product family]],Table2[[#This Row],[detailed product]],Table2[[#This Row],[action attribute]])</f>
        <v>About something unknown</v>
      </c>
    </row>
    <row r="137" spans="1:12" ht="32" x14ac:dyDescent="0.2">
      <c r="A137" s="1">
        <v>130515</v>
      </c>
      <c r="B137" s="2">
        <v>43742.712581018517</v>
      </c>
      <c r="C137" s="5" t="s">
        <v>92</v>
      </c>
      <c r="D137" s="18" t="s">
        <v>188</v>
      </c>
      <c r="E137" s="18"/>
      <c r="F137" s="18" t="s">
        <v>354</v>
      </c>
      <c r="G137" s="18"/>
      <c r="H137" s="18" t="s">
        <v>174</v>
      </c>
      <c r="I137" s="18"/>
      <c r="L137" t="str">
        <f>getIntent(Table2[[#This Row],[action]],Table2[[#This Row],[product family]],Table2[[#This Row],[detailed product]],Table2[[#This Row],[action attribute]])</f>
        <v>Client wants to change something unknown</v>
      </c>
    </row>
    <row r="138" spans="1:12" ht="16" x14ac:dyDescent="0.2">
      <c r="A138" s="1">
        <v>129816</v>
      </c>
      <c r="B138" s="2">
        <v>43742.611076388886</v>
      </c>
      <c r="C138" s="5" t="s">
        <v>55</v>
      </c>
      <c r="D138" s="17" t="s">
        <v>140</v>
      </c>
      <c r="E138" s="17"/>
      <c r="F138" s="17"/>
      <c r="G138" s="17"/>
      <c r="H138" s="17" t="s">
        <v>192</v>
      </c>
      <c r="I138" s="18"/>
      <c r="L138" t="str">
        <f>getIntent(Table2[[#This Row],[action]],Table2[[#This Row],[product family]],Table2[[#This Row],[detailed product]],Table2[[#This Row],[action attribute]])</f>
        <v>Client wants to check an unspecified account</v>
      </c>
    </row>
    <row r="139" spans="1:12" ht="16" x14ac:dyDescent="0.2">
      <c r="A139" s="1">
        <v>130506</v>
      </c>
      <c r="B139" s="2">
        <v>43742.434664351851</v>
      </c>
      <c r="C139" s="5" t="s">
        <v>111</v>
      </c>
      <c r="D139" s="18" t="s">
        <v>188</v>
      </c>
      <c r="E139" s="18"/>
      <c r="F139" s="18"/>
      <c r="G139" s="18"/>
      <c r="H139" s="18" t="s">
        <v>212</v>
      </c>
      <c r="I139" s="18"/>
      <c r="K139" t="s">
        <v>538</v>
      </c>
      <c r="L139" t="str">
        <f>getIntent(Table2[[#This Row],[action]],Table2[[#This Row],[product family]],Table2[[#This Row],[detailed product]],Table2[[#This Row],[action attribute]])</f>
        <v>Client needs information about something unknown</v>
      </c>
    </row>
    <row r="140" spans="1:12" ht="16" x14ac:dyDescent="0.2">
      <c r="A140" s="1">
        <v>129755</v>
      </c>
      <c r="B140" s="2">
        <v>43742.426817129628</v>
      </c>
      <c r="C140" s="5" t="s">
        <v>15</v>
      </c>
      <c r="D140" s="18" t="s">
        <v>188</v>
      </c>
      <c r="E140" s="18"/>
      <c r="F140" s="18" t="s">
        <v>210</v>
      </c>
      <c r="G140" s="18"/>
      <c r="H140" s="18" t="s">
        <v>192</v>
      </c>
      <c r="I140" s="18" t="s">
        <v>193</v>
      </c>
      <c r="L140" t="str">
        <f>getIntent(Table2[[#This Row],[action]],Table2[[#This Row],[product family]],Table2[[#This Row],[detailed product]],Table2[[#This Row],[action attribute]])</f>
        <v>Client wants to check the not approved for something unknown</v>
      </c>
    </row>
    <row r="141" spans="1:12" ht="16" x14ac:dyDescent="0.2">
      <c r="A141" s="1">
        <v>131560</v>
      </c>
      <c r="B141" s="2">
        <v>43742.31763888889</v>
      </c>
      <c r="C141" s="5" t="s">
        <v>45</v>
      </c>
      <c r="D141" t="s">
        <v>188</v>
      </c>
      <c r="E141" t="s">
        <v>188</v>
      </c>
      <c r="F141" t="s">
        <v>188</v>
      </c>
      <c r="G141" t="s">
        <v>188</v>
      </c>
      <c r="H141" t="s">
        <v>188</v>
      </c>
      <c r="I141" t="s">
        <v>188</v>
      </c>
      <c r="J141" t="s">
        <v>547</v>
      </c>
      <c r="L141" t="str">
        <f>getIntent(Table2[[#This Row],[action]],Table2[[#This Row],[product family]],Table2[[#This Row],[detailed product]],Table2[[#This Row],[action attribute]])</f>
        <v>About something unknown</v>
      </c>
    </row>
    <row r="142" spans="1:12" ht="16" x14ac:dyDescent="0.2">
      <c r="A142" s="1">
        <v>131214</v>
      </c>
      <c r="B142" s="2">
        <v>43742.310983796298</v>
      </c>
      <c r="C142" s="5" t="s">
        <v>95</v>
      </c>
      <c r="D142" t="s">
        <v>188</v>
      </c>
      <c r="J142" t="s">
        <v>563</v>
      </c>
      <c r="L142" t="str">
        <f>getIntent(Table2[[#This Row],[action]],Table2[[#This Row],[product family]],Table2[[#This Row],[detailed product]],Table2[[#This Row],[action attribute]])</f>
        <v>About something unknown</v>
      </c>
    </row>
    <row r="143" spans="1:12" ht="16" x14ac:dyDescent="0.2">
      <c r="A143" s="1">
        <v>126612</v>
      </c>
      <c r="B143" s="2">
        <v>43741.828298611108</v>
      </c>
      <c r="C143" s="5" t="s">
        <v>34</v>
      </c>
      <c r="D143" t="s">
        <v>188</v>
      </c>
      <c r="E143" t="s">
        <v>188</v>
      </c>
      <c r="F143" t="s">
        <v>188</v>
      </c>
      <c r="G143" t="s">
        <v>188</v>
      </c>
      <c r="H143" t="s">
        <v>188</v>
      </c>
      <c r="I143" t="s">
        <v>188</v>
      </c>
      <c r="L143" t="str">
        <f>getIntent(Table2[[#This Row],[action]],Table2[[#This Row],[product family]],Table2[[#This Row],[detailed product]],Table2[[#This Row],[action attribute]])</f>
        <v>About something unknown</v>
      </c>
    </row>
    <row r="144" spans="1:12" ht="64" x14ac:dyDescent="0.2">
      <c r="A144" s="1">
        <v>126473</v>
      </c>
      <c r="B144" s="2">
        <v>43741.66878472222</v>
      </c>
      <c r="C144" s="5" t="s">
        <v>132</v>
      </c>
      <c r="D144" s="18" t="s">
        <v>140</v>
      </c>
      <c r="E144" s="18"/>
      <c r="F144" s="18"/>
      <c r="G144" s="18"/>
      <c r="H144" s="18" t="s">
        <v>192</v>
      </c>
      <c r="I144" s="18" t="s">
        <v>193</v>
      </c>
      <c r="L144" t="str">
        <f>getIntent(Table2[[#This Row],[action]],Table2[[#This Row],[product family]],Table2[[#This Row],[detailed product]],Table2[[#This Row],[action attribute]])</f>
        <v>Client wants to check the not approved for an unspecified account</v>
      </c>
    </row>
    <row r="145" spans="1:12" ht="16" x14ac:dyDescent="0.2">
      <c r="A145" s="1">
        <v>129107</v>
      </c>
      <c r="B145" s="2">
        <v>43741.473321759258</v>
      </c>
      <c r="C145" s="5" t="s">
        <v>6</v>
      </c>
      <c r="D145" t="s">
        <v>188</v>
      </c>
      <c r="E145" t="s">
        <v>188</v>
      </c>
      <c r="F145" t="s">
        <v>188</v>
      </c>
      <c r="G145" t="s">
        <v>188</v>
      </c>
      <c r="H145" t="s">
        <v>188</v>
      </c>
      <c r="I145" t="s">
        <v>188</v>
      </c>
      <c r="J145" t="s">
        <v>533</v>
      </c>
      <c r="L145" t="str">
        <f>getIntent(Table2[[#This Row],[action]],Table2[[#This Row],[product family]],Table2[[#This Row],[detailed product]],Table2[[#This Row],[action attribute]])</f>
        <v>About something unknown</v>
      </c>
    </row>
    <row r="146" spans="1:12" ht="16" x14ac:dyDescent="0.2">
      <c r="A146" s="1">
        <v>127286</v>
      </c>
      <c r="B146" s="2">
        <v>43741.315358796302</v>
      </c>
      <c r="C146" s="5" t="s">
        <v>84</v>
      </c>
      <c r="D146" s="17" t="s">
        <v>140</v>
      </c>
      <c r="E146" s="17"/>
      <c r="F146" s="17"/>
      <c r="G146" s="17"/>
      <c r="H146" s="17" t="s">
        <v>192</v>
      </c>
      <c r="I146" s="17" t="s">
        <v>193</v>
      </c>
      <c r="L146" t="str">
        <f>getIntent(Table2[[#This Row],[action]],Table2[[#This Row],[product family]],Table2[[#This Row],[detailed product]],Table2[[#This Row],[action attribute]])</f>
        <v>Client wants to check the not approved for an unspecified account</v>
      </c>
    </row>
    <row r="147" spans="1:12" ht="32" x14ac:dyDescent="0.2">
      <c r="A147" s="1">
        <v>126454</v>
      </c>
      <c r="B147" s="2">
        <v>43741.134976851848</v>
      </c>
      <c r="C147" s="5" t="s">
        <v>25</v>
      </c>
      <c r="D147" t="s">
        <v>182</v>
      </c>
      <c r="H147" t="s">
        <v>192</v>
      </c>
      <c r="I147" t="s">
        <v>208</v>
      </c>
      <c r="L147" t="str">
        <f>getIntent(Table2[[#This Row],[action]],Table2[[#This Row],[product family]],Table2[[#This Row],[detailed product]],Table2[[#This Row],[action attribute]])</f>
        <v>Client wants to check the not retrieved for an unspecified payment</v>
      </c>
    </row>
    <row r="148" spans="1:12" ht="32" x14ac:dyDescent="0.2">
      <c r="A148" s="1">
        <v>127138</v>
      </c>
      <c r="B148" s="2">
        <v>43741.007569444453</v>
      </c>
      <c r="C148" s="5" t="s">
        <v>12</v>
      </c>
      <c r="D148" s="17" t="s">
        <v>182</v>
      </c>
      <c r="E148" s="17" t="s">
        <v>233</v>
      </c>
      <c r="F148" s="17"/>
      <c r="G148" s="17"/>
      <c r="H148" s="17" t="s">
        <v>212</v>
      </c>
      <c r="I148" s="17"/>
      <c r="L148" t="str">
        <f>getIntent(Table2[[#This Row],[action]],Table2[[#This Row],[product family]],Table2[[#This Row],[detailed product]],Table2[[#This Row],[action attribute]])</f>
        <v>Client needs information about his cash</v>
      </c>
    </row>
    <row r="149" spans="1:12" ht="32" x14ac:dyDescent="0.2">
      <c r="A149" s="1">
        <v>135510</v>
      </c>
      <c r="B149" s="2">
        <v>43740.874791666669</v>
      </c>
      <c r="C149" s="5" t="s">
        <v>16</v>
      </c>
      <c r="D149" t="s">
        <v>182</v>
      </c>
      <c r="H149" t="s">
        <v>212</v>
      </c>
      <c r="I149" t="s">
        <v>541</v>
      </c>
      <c r="K149" t="s">
        <v>542</v>
      </c>
      <c r="L149" t="str">
        <f>getIntent(Table2[[#This Row],[action]],Table2[[#This Row],[product family]],Table2[[#This Row],[detailed product]],Table2[[#This Row],[action attribute]])</f>
        <v>Client needs information about the time for an unspecified payment</v>
      </c>
    </row>
    <row r="150" spans="1:12" ht="16" x14ac:dyDescent="0.2">
      <c r="A150" s="1">
        <v>135660</v>
      </c>
      <c r="B150" s="2">
        <v>43740.422083333331</v>
      </c>
      <c r="C150" s="5" t="s">
        <v>51</v>
      </c>
      <c r="D150" s="18" t="s">
        <v>140</v>
      </c>
      <c r="E150" s="18"/>
      <c r="F150" s="18"/>
      <c r="G150" s="18"/>
      <c r="H150" s="18" t="s">
        <v>192</v>
      </c>
      <c r="I150" s="18" t="s">
        <v>193</v>
      </c>
      <c r="L150" t="str">
        <f>getIntent(Table2[[#This Row],[action]],Table2[[#This Row],[product family]],Table2[[#This Row],[detailed product]],Table2[[#This Row],[action attribute]])</f>
        <v>Client wants to check the not approved for an unspecified account</v>
      </c>
    </row>
    <row r="151" spans="1:12" ht="16" x14ac:dyDescent="0.2">
      <c r="A151" s="1">
        <v>133919</v>
      </c>
      <c r="B151" s="2">
        <v>43740.286979166667</v>
      </c>
      <c r="C151" s="5" t="s">
        <v>34</v>
      </c>
      <c r="D151" t="s">
        <v>188</v>
      </c>
      <c r="J151" t="s">
        <v>546</v>
      </c>
      <c r="L151" t="str">
        <f>getIntent(Table2[[#This Row],[action]],Table2[[#This Row],[product family]],Table2[[#This Row],[detailed product]],Table2[[#This Row],[action attribute]])</f>
        <v>About something unknown</v>
      </c>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
        <x14:dataValidation type="list" allowBlank="1" showInputMessage="1" showErrorMessage="1" xr:uid="{DAC1B85C-3EC2-8A4E-B500-C1FE7B457B33}">
          <x14:formula1>
            <xm:f>structure!$A$2:$A$10</xm:f>
          </x14:formula1>
          <xm:sqref>F29:I30 F44:I44 F48:I48 F50:I50 F93:I93 F116:I116 F126:I126 F141:I141 F5:I6 F144:I144 F8:I8 F35:I35 F37:I37 F74:I74 F87:I88 F99:I99 F101:I101 F103:I103 F120:I120 D57:D63 D114:D118 D87:D94 D105:D106 D1:D55 D122:D129 D65:D70 D72:D78 D80:D85 D97:D103 D110:D112 D137 D131:D133 D135 D149:D1048576 D139:D145 D147 D120 F18:I20</xm:sqref>
        </x14:dataValidation>
        <x14:dataValidation type="list" allowBlank="1" showErrorMessage="1" xr:uid="{D1844506-1826-8546-974C-77618516BE3B}">
          <x14:formula1>
            <xm:f>structure!$B:$B</xm:f>
          </x14:formula1>
          <xm:sqref>E1:E1048576</xm:sqref>
        </x14:dataValidation>
        <x14:dataValidation type="list" allowBlank="1" showInputMessage="1" showErrorMessage="1" xr:uid="{B105CD5B-28AA-844A-88EA-13BA3B25B7CB}">
          <x14:formula1>
            <xm:f>structure!$C:$C</xm:f>
          </x14:formula1>
          <xm:sqref>F1:F4 F137 F9:F17 F117:F118 F122:F125 F49 F36 F72:F73 F97:F98 F114:F115 F142:F143 F7 F21:F28 F45:F47 F38:F43 F139:F140 F57:F63 F100 F102 F105:F106 F89:F92 F94 F80:F85 F31:F34 F65:F70 F75:F78 F110:F112 F127:F129 F131:F133 F135 F149:F1048576 F145 F147 F51:F55</xm:sqref>
        </x14:dataValidation>
        <x14:dataValidation type="list" allowBlank="1" showInputMessage="1" showErrorMessage="1" xr:uid="{745E466D-C4D3-9F43-A838-C3F893C19788}">
          <x14:formula1>
            <xm:f>structure!$D:$D</xm:f>
          </x14:formula1>
          <xm:sqref>G1:G4 G137 G9:G17 G117:G118 G122:G125 G49 G36 G72:G73 G97:G98 G114:G115 G142:G143 G7 G21:G28 G45:G47 G38:G43 G139:G140 G57:G63 G100 G102 G105:G106 G89:G92 G94 G80:G85 G31:G34 G65:G70 G75:G78 G110:G112 G127:G129 G131:G133 G135 G149:G1048576 G145 G147 G51:G55</xm:sqref>
        </x14:dataValidation>
        <x14:dataValidation type="list" allowBlank="1" showInputMessage="1" showErrorMessage="1" xr:uid="{902CB5AF-BFBD-504D-91B8-110EA0F1741E}">
          <x14:formula1>
            <xm:f>structure!$E:$E</xm:f>
          </x14:formula1>
          <xm:sqref>H1:H4 H137 H9:H17 H117:H118 H122:H125 H49 H36 H72:H73 H97:H98 H114:H115 H142:H143 H7 H21:H28 H45:H47 H38:H43 H139:H140 H57:H63 H100 H102 H105:H106 H89:H92 H94 H80:H85 H31:H34 H65:H70 H75:H78 H110:H112 H127:H129 H131:H133 H135 H149:H1048576 H145 H147 H51:H55</xm:sqref>
        </x14:dataValidation>
        <x14:dataValidation type="list" allowBlank="1" showInputMessage="1" showErrorMessage="1" xr:uid="{065ABDBA-2FA6-1F4A-855B-E1E79D3C1E05}">
          <x14:formula1>
            <xm:f>structure!$F:$F</xm:f>
          </x14:formula1>
          <xm:sqref>I1:I4 I137:I140 I9:I17 I117:I118 I122:I125 I49 I36 I72:I73 I97:I98 I114:I115 I142:I143 I7 I21:I28 I45:I47 I38:I43 I149:I1048576 I57:I63 I100 I102 I105:I106 I89:I92 I94 I80:I85 I31:I34 I51:I55 I75:I78 I110:I112 I127:I129 I131:I133 I135 I145 I147 I65:I70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800A-6933-0D4B-AAA2-CE837E6B726F}">
  <sheetPr codeName="Sheet10"/>
  <dimension ref="A1:S151"/>
  <sheetViews>
    <sheetView topLeftCell="A3" zoomScale="130" zoomScaleNormal="130" workbookViewId="0">
      <selection activeCell="E3" sqref="E3"/>
    </sheetView>
  </sheetViews>
  <sheetFormatPr baseColWidth="10" defaultColWidth="8.83203125" defaultRowHeight="15" x14ac:dyDescent="0.2"/>
  <cols>
    <col min="1" max="1" width="10.5" customWidth="1"/>
    <col min="2" max="2" width="17.6640625" bestFit="1" customWidth="1"/>
    <col min="3" max="3" width="47.6640625" style="5" customWidth="1"/>
    <col min="4" max="4" width="17.1640625" style="5" customWidth="1"/>
    <col min="5" max="6" width="16.6640625" style="5" customWidth="1"/>
    <col min="7" max="7" width="18" style="5" customWidth="1"/>
    <col min="8" max="8" width="29" style="5" customWidth="1"/>
    <col min="9" max="9" width="18.6640625" style="5" hidden="1" customWidth="1"/>
    <col min="10" max="10" width="18.5" style="5" hidden="1" customWidth="1"/>
    <col min="11" max="11" width="35.83203125" style="5" bestFit="1" customWidth="1"/>
    <col min="12" max="12" width="14.5" customWidth="1"/>
    <col min="13" max="13" width="15" customWidth="1"/>
    <col min="14" max="14" width="15.5" customWidth="1"/>
    <col min="15" max="15" width="9.83203125" customWidth="1"/>
    <col min="16" max="16" width="8.83203125" customWidth="1"/>
    <col min="17" max="17" width="13" customWidth="1"/>
    <col min="19" max="19" width="44.83203125" bestFit="1" customWidth="1"/>
  </cols>
  <sheetData>
    <row r="1" spans="1:19" ht="32" x14ac:dyDescent="0.2">
      <c r="A1" s="6" t="s">
        <v>529</v>
      </c>
      <c r="B1" s="4" t="s">
        <v>0</v>
      </c>
      <c r="C1" s="4" t="s">
        <v>1</v>
      </c>
      <c r="D1" s="7" t="s">
        <v>614</v>
      </c>
      <c r="E1" s="4" t="s">
        <v>624</v>
      </c>
      <c r="F1" s="4" t="s">
        <v>623</v>
      </c>
      <c r="G1" s="7" t="s">
        <v>625</v>
      </c>
      <c r="H1" s="7" t="s">
        <v>663</v>
      </c>
      <c r="I1" s="7" t="s">
        <v>615</v>
      </c>
      <c r="J1" s="7" t="s">
        <v>640</v>
      </c>
      <c r="K1" s="8" t="s">
        <v>568</v>
      </c>
      <c r="L1" s="4" t="s">
        <v>134</v>
      </c>
      <c r="M1" s="4" t="s">
        <v>135</v>
      </c>
      <c r="N1" s="4" t="s">
        <v>136</v>
      </c>
      <c r="O1" s="4" t="s">
        <v>137</v>
      </c>
      <c r="P1" s="4" t="s">
        <v>138</v>
      </c>
      <c r="Q1" s="4" t="s">
        <v>139</v>
      </c>
      <c r="R1" s="8" t="s">
        <v>531</v>
      </c>
      <c r="S1" s="7" t="s">
        <v>537</v>
      </c>
    </row>
    <row r="2" spans="1:19" ht="64" x14ac:dyDescent="0.2">
      <c r="A2" s="1">
        <v>120024</v>
      </c>
      <c r="B2" s="2">
        <v>43774.593576388892</v>
      </c>
      <c r="C2" s="30" t="s">
        <v>81</v>
      </c>
      <c r="D2" s="30" t="s">
        <v>616</v>
      </c>
      <c r="E2" s="30" t="s">
        <v>641</v>
      </c>
      <c r="F2" s="30" t="s">
        <v>242</v>
      </c>
      <c r="G2" s="30" t="s">
        <v>646</v>
      </c>
      <c r="H2"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submit credentials because of update and needs instructions</v>
      </c>
      <c r="I2" s="30"/>
      <c r="J2" s="30"/>
      <c r="K2" s="5" t="str">
        <f>getIntent(Table24[[#This Row],[action]],Table24[[#This Row],[product family]],Table24[[#This Row],[detailed product]],Table24[[#This Row],[action attribute]])</f>
        <v>Client wants to check the driving license for an unspecified account</v>
      </c>
      <c r="L2" s="18" t="s">
        <v>140</v>
      </c>
      <c r="M2" s="18"/>
      <c r="N2" s="18"/>
      <c r="O2" s="18"/>
      <c r="P2" s="18" t="s">
        <v>192</v>
      </c>
      <c r="Q2" s="18" t="s">
        <v>539</v>
      </c>
    </row>
    <row r="3" spans="1:19" ht="208" x14ac:dyDescent="0.2">
      <c r="A3" s="1">
        <v>121011</v>
      </c>
      <c r="B3" s="2">
        <v>43774.448819444442</v>
      </c>
      <c r="C3" s="36" t="s">
        <v>28</v>
      </c>
      <c r="D3" s="36" t="s">
        <v>436</v>
      </c>
      <c r="E3" s="36" t="s">
        <v>618</v>
      </c>
      <c r="F3" s="36" t="s">
        <v>672</v>
      </c>
      <c r="G3" s="36" t="s">
        <v>502</v>
      </c>
      <c r="H3"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3" s="30" t="str">
        <f>"client" &amp;IF(Table24[[#This Row],[why / cause of issue / reason contact]]="undefined",""," "&amp;Table24[[#This Row],[why / cause of issue / reason contact]])&amp;IF(Table24[[#This Row],[what / issue / status]]="undefined",""," "&amp;Table24[[#This Row],[what / issue / status]])&amp;IF(Table24[[#This Row],[how / resolution]]="undefined",""," due to "&amp;Table24[[#This Row],[how / resolution]])&amp;IF(Table24[[#This Row],[Intent2]]="undefined",""," and needs "&amp;Table24[[#This Row],[Intent2]])</f>
        <v>client pending process not received due to status and needs client not received payment because of pending process and needs status</v>
      </c>
      <c r="J3" s="30" t="str">
        <f>"client" &amp;IF(Table24[[#This Row],[how / resolution]]="undefined",""," "&amp;Table24[[#This Row],[how / resolution]])&amp;IF(Table24[[#This Row],[why / cause of issue / reason contact]]="undefined",""," "&amp;Table24[[#This Row],[why / cause of issue / reason contact]])&amp;IF(Table24[[#This Row],[Intent2]]="undefined",""," due to "&amp;Table24[[#This Row],[Intent2]])&amp;IF(Table24[[#This Row],[Column2]]="undefined",""," and needs "&amp;Table24[[#This Row],[Column2]])</f>
        <v>client status pending process due to client not received payment because of pending process and needs status and needs client pending process not received due to status and needs client not received payment because of pending process and needs status</v>
      </c>
      <c r="K3" s="5" t="str">
        <f>getIntent(Table24[[#This Row],[action]],Table24[[#This Row],[product family]],Table24[[#This Row],[detailed product]],Table24[[#This Row],[action attribute]])</f>
        <v>Client wants to check the not retrieved for an unspecified payment</v>
      </c>
      <c r="L3" s="18" t="s">
        <v>182</v>
      </c>
      <c r="M3" s="18"/>
      <c r="N3" s="18"/>
      <c r="O3" s="18"/>
      <c r="P3" s="18" t="s">
        <v>192</v>
      </c>
      <c r="Q3" s="18" t="s">
        <v>208</v>
      </c>
    </row>
    <row r="4" spans="1:19" ht="32" x14ac:dyDescent="0.2">
      <c r="A4" s="1">
        <v>121025</v>
      </c>
      <c r="B4" s="2">
        <v>43774.292881944442</v>
      </c>
      <c r="C4" s="29" t="s">
        <v>115</v>
      </c>
      <c r="D4" s="29" t="s">
        <v>436</v>
      </c>
      <c r="E4" s="29" t="s">
        <v>652</v>
      </c>
      <c r="F4" s="29" t="s">
        <v>188</v>
      </c>
      <c r="G4" s="29" t="s">
        <v>666</v>
      </c>
      <c r="H4"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transfer via gcash payment and needs information</v>
      </c>
      <c r="I4" s="29"/>
      <c r="J4" s="29"/>
      <c r="K4" s="5" t="str">
        <f>getIntent(Table24[[#This Row],[action]],Table24[[#This Row],[product family]],Table24[[#This Row],[detailed product]],Table24[[#This Row],[action attribute]])</f>
        <v>Client needs information about an unspecified payment</v>
      </c>
      <c r="L4" s="16" t="s">
        <v>182</v>
      </c>
      <c r="M4" s="16"/>
      <c r="N4" s="16"/>
      <c r="O4" s="16"/>
      <c r="P4" s="16" t="s">
        <v>212</v>
      </c>
      <c r="Q4" s="16"/>
    </row>
    <row r="5" spans="1:19" ht="32" x14ac:dyDescent="0.2">
      <c r="A5" s="1">
        <v>121835</v>
      </c>
      <c r="B5" s="2">
        <v>43774.277337962973</v>
      </c>
      <c r="C5" s="30" t="s">
        <v>68</v>
      </c>
      <c r="D5" s="30" t="s">
        <v>166</v>
      </c>
      <c r="E5" s="30" t="s">
        <v>661</v>
      </c>
      <c r="F5" s="30" t="s">
        <v>188</v>
      </c>
      <c r="G5" s="30" t="s">
        <v>646</v>
      </c>
      <c r="H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create/activate account and needs instructions</v>
      </c>
      <c r="I5" s="30"/>
      <c r="J5" s="30"/>
      <c r="K5" s="5" t="str">
        <f>getIntent(Table24[[#This Row],[action]],Table24[[#This Row],[product family]],Table24[[#This Row],[detailed product]],Table24[[#This Row],[action attribute]])</f>
        <v>Client wants to check the not approved for an unspecified account</v>
      </c>
      <c r="L5" s="18" t="s">
        <v>140</v>
      </c>
      <c r="M5" s="18"/>
      <c r="N5" s="18"/>
      <c r="O5" s="18"/>
      <c r="P5" s="18" t="s">
        <v>192</v>
      </c>
      <c r="Q5" s="21" t="s">
        <v>193</v>
      </c>
    </row>
    <row r="6" spans="1:19" ht="48" x14ac:dyDescent="0.2">
      <c r="A6" s="1">
        <v>119769</v>
      </c>
      <c r="B6" s="2">
        <v>43774.221608796302</v>
      </c>
      <c r="C6" s="35" t="s">
        <v>114</v>
      </c>
      <c r="D6" s="35" t="s">
        <v>436</v>
      </c>
      <c r="E6" s="35" t="s">
        <v>645</v>
      </c>
      <c r="F6" s="35" t="s">
        <v>622</v>
      </c>
      <c r="G6" s="35" t="s">
        <v>646</v>
      </c>
      <c r="H6"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BPI check deposit payment because of wrong deposit date and needs instructions</v>
      </c>
      <c r="I6" s="35"/>
      <c r="J6" s="35"/>
      <c r="K6" s="5" t="str">
        <f>getIntent(Table24[[#This Row],[action]],Table24[[#This Row],[product family]],Table24[[#This Row],[detailed product]],Table24[[#This Row],[action attribute]])</f>
        <v>Client wants to check the not retrieved for an unspecified payment</v>
      </c>
      <c r="L6" s="21" t="s">
        <v>182</v>
      </c>
      <c r="M6" s="18"/>
      <c r="N6" s="18"/>
      <c r="O6" s="18"/>
      <c r="P6" s="21" t="s">
        <v>192</v>
      </c>
      <c r="Q6" s="21" t="s">
        <v>208</v>
      </c>
    </row>
    <row r="7" spans="1:19" ht="32" x14ac:dyDescent="0.2">
      <c r="A7" s="1">
        <v>118670</v>
      </c>
      <c r="B7" s="2">
        <v>43773.526435185187</v>
      </c>
      <c r="C7" s="24" t="s">
        <v>83</v>
      </c>
      <c r="D7" s="24" t="s">
        <v>670</v>
      </c>
      <c r="E7" s="24" t="s">
        <v>188</v>
      </c>
      <c r="F7" s="24" t="s">
        <v>188</v>
      </c>
      <c r="G7" s="24" t="s">
        <v>671</v>
      </c>
      <c r="H7"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7" s="24"/>
      <c r="J7" s="24"/>
      <c r="K7" s="5" t="str">
        <f>getIntent(Table24[[#This Row],[action]],Table24[[#This Row],[product family]],Table24[[#This Row],[detailed product]],Table24[[#This Row],[action attribute]])</f>
        <v>About something unknown</v>
      </c>
      <c r="L7" s="18" t="s">
        <v>188</v>
      </c>
      <c r="M7" s="18" t="s">
        <v>188</v>
      </c>
      <c r="N7" s="18" t="s">
        <v>188</v>
      </c>
      <c r="O7" s="18" t="s">
        <v>188</v>
      </c>
      <c r="P7" s="18" t="s">
        <v>188</v>
      </c>
      <c r="Q7" s="18" t="s">
        <v>188</v>
      </c>
      <c r="R7" t="s">
        <v>530</v>
      </c>
    </row>
    <row r="8" spans="1:19" ht="64" x14ac:dyDescent="0.2">
      <c r="A8" s="1">
        <v>119672</v>
      </c>
      <c r="B8" s="2">
        <v>43773.356099537043</v>
      </c>
      <c r="C8" s="31" t="s">
        <v>60</v>
      </c>
      <c r="D8" s="31" t="s">
        <v>616</v>
      </c>
      <c r="E8" s="31" t="s">
        <v>631</v>
      </c>
      <c r="F8" s="31" t="s">
        <v>242</v>
      </c>
      <c r="G8" s="31" t="s">
        <v>646</v>
      </c>
      <c r="H8"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update new id without signature credentials because of update and needs instructions</v>
      </c>
      <c r="I8" s="31"/>
      <c r="J8" s="31"/>
      <c r="K8" s="5" t="str">
        <f>getIntent(Table24[[#This Row],[action]],Table24[[#This Row],[product family]],Table24[[#This Row],[detailed product]],Table24[[#This Row],[action attribute]])</f>
        <v>Client needs information about the id means for something unknown</v>
      </c>
      <c r="L8" s="16" t="s">
        <v>188</v>
      </c>
      <c r="M8" s="16"/>
      <c r="N8" s="16"/>
      <c r="O8" s="16"/>
      <c r="P8" s="16" t="s">
        <v>212</v>
      </c>
      <c r="Q8" s="16" t="s">
        <v>548</v>
      </c>
    </row>
    <row r="9" spans="1:19" ht="32" x14ac:dyDescent="0.2">
      <c r="A9" s="1">
        <v>118299</v>
      </c>
      <c r="B9" s="2">
        <v>43773.273657407408</v>
      </c>
      <c r="C9" s="24" t="s">
        <v>5</v>
      </c>
      <c r="D9" s="24" t="s">
        <v>670</v>
      </c>
      <c r="E9" s="24" t="s">
        <v>188</v>
      </c>
      <c r="F9" s="24" t="s">
        <v>188</v>
      </c>
      <c r="G9" s="24" t="s">
        <v>671</v>
      </c>
      <c r="H9"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9" s="24"/>
      <c r="J9" s="24"/>
      <c r="K9" s="5" t="str">
        <f>getIntent(Table24[[#This Row],[action]],Table24[[#This Row],[product family]],Table24[[#This Row],[detailed product]],Table24[[#This Row],[action attribute]])</f>
        <v>About something unknown</v>
      </c>
      <c r="L9" t="s">
        <v>188</v>
      </c>
      <c r="M9" t="s">
        <v>188</v>
      </c>
      <c r="N9" t="s">
        <v>188</v>
      </c>
      <c r="O9" t="s">
        <v>188</v>
      </c>
      <c r="P9" t="s">
        <v>188</v>
      </c>
      <c r="Q9" t="s">
        <v>188</v>
      </c>
      <c r="R9" t="s">
        <v>530</v>
      </c>
    </row>
    <row r="10" spans="1:19" ht="48" x14ac:dyDescent="0.2">
      <c r="A10" s="1">
        <v>117540</v>
      </c>
      <c r="B10" s="2">
        <v>43773.253113425933</v>
      </c>
      <c r="C10" s="30" t="s">
        <v>37</v>
      </c>
      <c r="D10" s="30" t="s">
        <v>166</v>
      </c>
      <c r="E10" s="30" t="s">
        <v>675</v>
      </c>
      <c r="F10" s="30" t="s">
        <v>672</v>
      </c>
      <c r="G10" s="30" t="s">
        <v>502</v>
      </c>
      <c r="H10"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10" s="30"/>
      <c r="J10" s="30"/>
      <c r="K10" s="5" t="str">
        <f>getIntent(Table24[[#This Row],[action]],Table24[[#This Row],[product family]],Table24[[#This Row],[detailed product]],Table24[[#This Row],[action attribute]])</f>
        <v>Client wants to check the not approved for an unspecified account</v>
      </c>
      <c r="L10" s="18" t="s">
        <v>140</v>
      </c>
      <c r="M10" s="18"/>
      <c r="N10" s="18"/>
      <c r="O10" s="18"/>
      <c r="P10" s="18" t="s">
        <v>192</v>
      </c>
      <c r="Q10" s="18" t="s">
        <v>193</v>
      </c>
    </row>
    <row r="11" spans="1:19" ht="48" x14ac:dyDescent="0.2">
      <c r="A11" s="1">
        <v>117474</v>
      </c>
      <c r="B11" s="2">
        <v>43773.240937499999</v>
      </c>
      <c r="C11" s="32" t="s">
        <v>23</v>
      </c>
      <c r="D11" s="32" t="s">
        <v>166</v>
      </c>
      <c r="E11" s="32" t="s">
        <v>642</v>
      </c>
      <c r="F11" s="32" t="s">
        <v>673</v>
      </c>
      <c r="G11" s="32" t="s">
        <v>646</v>
      </c>
      <c r="H11"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11" s="32"/>
      <c r="J11" s="32"/>
      <c r="K11" s="5" t="str">
        <f>getIntent(Table24[[#This Row],[action]],Table24[[#This Row],[product family]],Table24[[#This Row],[detailed product]],Table24[[#This Row],[action attribute]])</f>
        <v>Client needs information about something unknown</v>
      </c>
      <c r="L11" t="s">
        <v>188</v>
      </c>
      <c r="M11" s="22"/>
      <c r="N11" s="22" t="s">
        <v>160</v>
      </c>
      <c r="P11" t="s">
        <v>212</v>
      </c>
      <c r="S11" t="s">
        <v>538</v>
      </c>
    </row>
    <row r="12" spans="1:19" ht="32" x14ac:dyDescent="0.2">
      <c r="A12" s="1">
        <v>119201</v>
      </c>
      <c r="B12" s="2">
        <v>43773.169953703713</v>
      </c>
      <c r="C12" s="24" t="s">
        <v>29</v>
      </c>
      <c r="D12" s="24" t="s">
        <v>670</v>
      </c>
      <c r="E12" s="24" t="s">
        <v>188</v>
      </c>
      <c r="F12" s="24" t="s">
        <v>188</v>
      </c>
      <c r="G12" s="24" t="s">
        <v>671</v>
      </c>
      <c r="H12"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2" s="24"/>
      <c r="J12" s="24"/>
      <c r="K12" s="5" t="str">
        <f>getIntent(Table24[[#This Row],[action]],Table24[[#This Row],[product family]],Table24[[#This Row],[detailed product]],Table24[[#This Row],[action attribute]])</f>
        <v>About something unknown</v>
      </c>
      <c r="L12" t="s">
        <v>188</v>
      </c>
      <c r="M12" t="s">
        <v>188</v>
      </c>
      <c r="N12" t="s">
        <v>188</v>
      </c>
      <c r="O12" t="s">
        <v>188</v>
      </c>
      <c r="P12" t="s">
        <v>188</v>
      </c>
      <c r="Q12" t="s">
        <v>188</v>
      </c>
      <c r="R12" t="s">
        <v>530</v>
      </c>
    </row>
    <row r="13" spans="1:19" ht="48" x14ac:dyDescent="0.2">
      <c r="A13" s="1">
        <v>118781</v>
      </c>
      <c r="B13" s="2">
        <v>43773.143865740742</v>
      </c>
      <c r="C13" s="29" t="s">
        <v>62</v>
      </c>
      <c r="D13" s="29" t="s">
        <v>436</v>
      </c>
      <c r="E13" s="29" t="s">
        <v>621</v>
      </c>
      <c r="F13" s="29" t="s">
        <v>188</v>
      </c>
      <c r="G13" s="29" t="s">
        <v>637</v>
      </c>
      <c r="H13"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rejected check deposit payment and needs reason for rejection</v>
      </c>
      <c r="I13" s="29"/>
      <c r="J13" s="29"/>
      <c r="K13" s="5" t="str">
        <f>getIntent(Table24[[#This Row],[action]],Table24[[#This Row],[product family]],Table24[[#This Row],[detailed product]],Table24[[#This Row],[action attribute]])</f>
        <v>Client wants to check the not approved for an unspecified payment</v>
      </c>
      <c r="L13" t="s">
        <v>182</v>
      </c>
      <c r="P13" s="22" t="s">
        <v>192</v>
      </c>
      <c r="Q13" t="s">
        <v>193</v>
      </c>
    </row>
    <row r="14" spans="1:19" ht="32" x14ac:dyDescent="0.2">
      <c r="A14" s="1">
        <v>119099</v>
      </c>
      <c r="B14" s="2">
        <v>43773.039386574077</v>
      </c>
      <c r="C14" s="29" t="s">
        <v>44</v>
      </c>
      <c r="D14" s="29" t="s">
        <v>436</v>
      </c>
      <c r="E14" s="29" t="s">
        <v>650</v>
      </c>
      <c r="F14" s="29" t="s">
        <v>188</v>
      </c>
      <c r="G14" s="29" t="s">
        <v>646</v>
      </c>
      <c r="H14"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check deposit payment and needs instructions</v>
      </c>
      <c r="I14" s="29"/>
      <c r="J14" s="29"/>
      <c r="K14" s="5" t="str">
        <f>getIntent(Table24[[#This Row],[action]],Table24[[#This Row],[product family]],Table24[[#This Row],[detailed product]],Table24[[#This Row],[action attribute]])</f>
        <v>Client wants to check the not retrieved for an unspecified payment</v>
      </c>
      <c r="L14" s="18" t="s">
        <v>182</v>
      </c>
      <c r="M14" s="18"/>
      <c r="N14" s="18"/>
      <c r="O14" s="18"/>
      <c r="P14" s="18" t="s">
        <v>192</v>
      </c>
      <c r="Q14" s="18" t="s">
        <v>208</v>
      </c>
    </row>
    <row r="15" spans="1:19" ht="32" x14ac:dyDescent="0.2">
      <c r="A15" s="1">
        <v>117032</v>
      </c>
      <c r="B15" s="2">
        <v>43772.764722222222</v>
      </c>
      <c r="C15" s="24" t="s">
        <v>5</v>
      </c>
      <c r="D15" s="24" t="s">
        <v>670</v>
      </c>
      <c r="E15" s="24" t="s">
        <v>188</v>
      </c>
      <c r="F15" s="24" t="s">
        <v>188</v>
      </c>
      <c r="G15" s="24" t="s">
        <v>671</v>
      </c>
      <c r="H15"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5" s="24"/>
      <c r="J15" s="24"/>
      <c r="K15" s="5" t="str">
        <f>getIntent(Table24[[#This Row],[action]],Table24[[#This Row],[product family]],Table24[[#This Row],[detailed product]],Table24[[#This Row],[action attribute]])</f>
        <v>About something unknown</v>
      </c>
      <c r="L15" s="18" t="s">
        <v>188</v>
      </c>
      <c r="M15" s="18" t="s">
        <v>188</v>
      </c>
      <c r="N15" s="18" t="s">
        <v>188</v>
      </c>
      <c r="O15" s="18" t="s">
        <v>188</v>
      </c>
      <c r="P15" s="18" t="s">
        <v>188</v>
      </c>
      <c r="Q15" t="s">
        <v>188</v>
      </c>
      <c r="R15" t="s">
        <v>530</v>
      </c>
    </row>
    <row r="16" spans="1:19" ht="48" x14ac:dyDescent="0.2">
      <c r="A16" s="1">
        <v>116606</v>
      </c>
      <c r="B16" s="2">
        <v>43772.583541666667</v>
      </c>
      <c r="C16" s="30" t="s">
        <v>69</v>
      </c>
      <c r="D16" s="30" t="s">
        <v>166</v>
      </c>
      <c r="E16" s="30" t="s">
        <v>661</v>
      </c>
      <c r="F16" s="30" t="s">
        <v>242</v>
      </c>
      <c r="G16" s="30" t="s">
        <v>646</v>
      </c>
      <c r="H16"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create/activate account because of update and needs instructions</v>
      </c>
      <c r="I16" s="30"/>
      <c r="J16" s="30"/>
      <c r="K16" s="5" t="str">
        <f>getIntent(Table24[[#This Row],[action]],Table24[[#This Row],[product family]],Table24[[#This Row],[detailed product]],Table24[[#This Row],[action attribute]])</f>
        <v>Client wants to check the not approved for an unspecified account</v>
      </c>
      <c r="L16" t="s">
        <v>140</v>
      </c>
      <c r="P16" t="s">
        <v>192</v>
      </c>
      <c r="Q16" t="s">
        <v>193</v>
      </c>
    </row>
    <row r="17" spans="1:19" ht="32" x14ac:dyDescent="0.2">
      <c r="A17" s="1">
        <v>122658</v>
      </c>
      <c r="B17" s="2">
        <v>43771.678946759261</v>
      </c>
      <c r="C17" s="24" t="s">
        <v>29</v>
      </c>
      <c r="D17" s="24" t="s">
        <v>670</v>
      </c>
      <c r="E17" s="24" t="s">
        <v>188</v>
      </c>
      <c r="F17" s="24" t="s">
        <v>188</v>
      </c>
      <c r="G17" s="24" t="s">
        <v>671</v>
      </c>
      <c r="H17"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7" s="24"/>
      <c r="J17" s="24"/>
      <c r="K17" s="5" t="str">
        <f>getIntent(Table24[[#This Row],[action]],Table24[[#This Row],[product family]],Table24[[#This Row],[detailed product]],Table24[[#This Row],[action attribute]])</f>
        <v>About something unknown</v>
      </c>
      <c r="L17" s="18" t="s">
        <v>188</v>
      </c>
      <c r="M17" s="18" t="s">
        <v>188</v>
      </c>
      <c r="N17" s="18" t="s">
        <v>188</v>
      </c>
      <c r="O17" s="18" t="s">
        <v>188</v>
      </c>
      <c r="P17" s="18" t="s">
        <v>188</v>
      </c>
      <c r="Q17" s="18" t="s">
        <v>188</v>
      </c>
      <c r="R17" t="s">
        <v>530</v>
      </c>
    </row>
    <row r="18" spans="1:19" ht="80" x14ac:dyDescent="0.2">
      <c r="A18" s="1">
        <v>123624</v>
      </c>
      <c r="B18" s="2">
        <v>43771.533472222232</v>
      </c>
      <c r="C18" s="36" t="s">
        <v>75</v>
      </c>
      <c r="D18" s="36" t="s">
        <v>436</v>
      </c>
      <c r="E18" s="36" t="s">
        <v>618</v>
      </c>
      <c r="F18" s="36" t="s">
        <v>672</v>
      </c>
      <c r="G18" s="36" t="s">
        <v>502</v>
      </c>
      <c r="H18"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18" s="36"/>
      <c r="J18" s="36"/>
      <c r="K18" s="5" t="str">
        <f>getIntent(Table24[[#This Row],[action]],Table24[[#This Row],[product family]],Table24[[#This Row],[detailed product]],Table24[[#This Row],[action attribute]])</f>
        <v>Client wants to check the not retrieved for an unspecified payment</v>
      </c>
      <c r="L18" s="16" t="s">
        <v>182</v>
      </c>
      <c r="M18" s="16"/>
      <c r="N18" s="16"/>
      <c r="O18" s="16"/>
      <c r="P18" s="16" t="s">
        <v>192</v>
      </c>
      <c r="Q18" s="16" t="s">
        <v>208</v>
      </c>
    </row>
    <row r="19" spans="1:19" ht="16" x14ac:dyDescent="0.2">
      <c r="A19" s="1">
        <v>123321</v>
      </c>
      <c r="B19" s="2">
        <v>43771.475219907406</v>
      </c>
      <c r="C19" s="27" t="s">
        <v>126</v>
      </c>
      <c r="D19" s="27" t="s">
        <v>188</v>
      </c>
      <c r="E19" s="27" t="s">
        <v>188</v>
      </c>
      <c r="F19" s="27" t="s">
        <v>188</v>
      </c>
      <c r="G19" s="27" t="s">
        <v>667</v>
      </c>
      <c r="H19"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19" s="27"/>
      <c r="J19" s="27"/>
      <c r="K19" s="5" t="str">
        <f>getIntent(Table24[[#This Row],[action]],Table24[[#This Row],[product family]],Table24[[#This Row],[detailed product]],Table24[[#This Row],[action attribute]])</f>
        <v>About something unknown</v>
      </c>
      <c r="L19" s="18" t="s">
        <v>188</v>
      </c>
      <c r="M19" s="18" t="s">
        <v>188</v>
      </c>
      <c r="N19" s="18" t="s">
        <v>188</v>
      </c>
      <c r="O19" s="18" t="s">
        <v>188</v>
      </c>
      <c r="P19" s="21" t="s">
        <v>188</v>
      </c>
      <c r="Q19" s="18" t="s">
        <v>188</v>
      </c>
    </row>
    <row r="20" spans="1:19" ht="48" x14ac:dyDescent="0.2">
      <c r="A20" s="1">
        <v>122679</v>
      </c>
      <c r="B20" s="2">
        <v>43771.388333333343</v>
      </c>
      <c r="C20" s="30" t="s">
        <v>110</v>
      </c>
      <c r="D20" s="30" t="s">
        <v>166</v>
      </c>
      <c r="E20" s="30" t="s">
        <v>675</v>
      </c>
      <c r="F20" s="30" t="s">
        <v>672</v>
      </c>
      <c r="G20" s="30" t="s">
        <v>502</v>
      </c>
      <c r="H20"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20" s="30"/>
      <c r="J20" s="30"/>
      <c r="K20" s="5" t="str">
        <f>getIntent(Table24[[#This Row],[action]],Table24[[#This Row],[product family]],Table24[[#This Row],[detailed product]],Table24[[#This Row],[action attribute]])</f>
        <v>Client needs information about the not approved for an unspecified account</v>
      </c>
      <c r="L20" t="s">
        <v>140</v>
      </c>
      <c r="P20" t="s">
        <v>212</v>
      </c>
      <c r="Q20" s="22" t="s">
        <v>193</v>
      </c>
    </row>
    <row r="21" spans="1:19" ht="32" x14ac:dyDescent="0.2">
      <c r="A21" s="1">
        <v>123422</v>
      </c>
      <c r="B21" s="2">
        <v>43771.336585648147</v>
      </c>
      <c r="C21" s="29" t="s">
        <v>46</v>
      </c>
      <c r="D21" s="29" t="s">
        <v>436</v>
      </c>
      <c r="E21" s="29" t="s">
        <v>649</v>
      </c>
      <c r="F21" s="29" t="s">
        <v>188</v>
      </c>
      <c r="G21" s="29" t="s">
        <v>646</v>
      </c>
      <c r="H21"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deposit payment and needs instructions</v>
      </c>
      <c r="I21" s="29"/>
      <c r="J21" s="29"/>
      <c r="K21" s="5" t="str">
        <f>getIntent(Table24[[#This Row],[action]],Table24[[#This Row],[product family]],Table24[[#This Row],[detailed product]],Table24[[#This Row],[action attribute]])</f>
        <v>Client needs information about an unspecified payment</v>
      </c>
      <c r="L21" t="s">
        <v>182</v>
      </c>
      <c r="P21" t="s">
        <v>212</v>
      </c>
    </row>
    <row r="22" spans="1:19" ht="32" x14ac:dyDescent="0.2">
      <c r="A22" s="1">
        <v>123318</v>
      </c>
      <c r="B22" s="2">
        <v>43771.190081018518</v>
      </c>
      <c r="C22" s="25" t="s">
        <v>112</v>
      </c>
      <c r="D22" s="25" t="s">
        <v>188</v>
      </c>
      <c r="E22" s="25" t="s">
        <v>660</v>
      </c>
      <c r="F22" s="25" t="s">
        <v>188</v>
      </c>
      <c r="G22" s="25" t="s">
        <v>665</v>
      </c>
      <c r="H22"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speaks foreign language and needs to repeat question in english</v>
      </c>
      <c r="I22" s="25"/>
      <c r="J22" s="25"/>
      <c r="K22" s="5" t="str">
        <f>getIntent(Table24[[#This Row],[action]],Table24[[#This Row],[product family]],Table24[[#This Row],[detailed product]],Table24[[#This Row],[action attribute]])</f>
        <v>About something unknown</v>
      </c>
      <c r="L22" s="18" t="s">
        <v>188</v>
      </c>
      <c r="M22" s="18" t="s">
        <v>188</v>
      </c>
      <c r="N22" s="18" t="s">
        <v>188</v>
      </c>
      <c r="O22" s="18" t="s">
        <v>188</v>
      </c>
      <c r="P22" s="18" t="s">
        <v>188</v>
      </c>
      <c r="Q22" s="18" t="s">
        <v>188</v>
      </c>
      <c r="R22" t="s">
        <v>536</v>
      </c>
    </row>
    <row r="23" spans="1:19" ht="48" x14ac:dyDescent="0.2">
      <c r="A23" s="1">
        <v>125977</v>
      </c>
      <c r="B23" s="2">
        <v>43770.583078703698</v>
      </c>
      <c r="C23" s="32" t="s">
        <v>77</v>
      </c>
      <c r="D23" s="32" t="s">
        <v>166</v>
      </c>
      <c r="E23" s="32" t="s">
        <v>642</v>
      </c>
      <c r="F23" s="32" t="s">
        <v>673</v>
      </c>
      <c r="G23" s="32" t="s">
        <v>646</v>
      </c>
      <c r="H23"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23" s="32"/>
      <c r="J23" s="32"/>
      <c r="K23" s="5" t="str">
        <f>getIntent(Table24[[#This Row],[action]],Table24[[#This Row],[product family]],Table24[[#This Row],[detailed product]],Table24[[#This Row],[action attribute]])</f>
        <v>Client needs information about something unknown</v>
      </c>
      <c r="L23" s="18" t="s">
        <v>188</v>
      </c>
      <c r="M23" s="21"/>
      <c r="N23" s="22" t="s">
        <v>160</v>
      </c>
      <c r="O23" s="18"/>
      <c r="P23" s="18" t="s">
        <v>212</v>
      </c>
      <c r="Q23" s="18"/>
      <c r="S23" t="s">
        <v>538</v>
      </c>
    </row>
    <row r="24" spans="1:19" ht="48" x14ac:dyDescent="0.2">
      <c r="A24" s="1">
        <v>124947</v>
      </c>
      <c r="B24" s="2">
        <v>43770.252962962957</v>
      </c>
      <c r="C24" s="32" t="s">
        <v>10</v>
      </c>
      <c r="D24" s="32" t="s">
        <v>166</v>
      </c>
      <c r="E24" s="32" t="s">
        <v>642</v>
      </c>
      <c r="F24" s="32" t="s">
        <v>673</v>
      </c>
      <c r="G24" s="32" t="s">
        <v>646</v>
      </c>
      <c r="H24"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24" s="32"/>
      <c r="J24" s="32"/>
      <c r="K24" s="5" t="str">
        <f>getIntent(Table24[[#This Row],[action]],Table24[[#This Row],[product family]],Table24[[#This Row],[detailed product]],Table24[[#This Row],[action attribute]])</f>
        <v>Client needs information about something unknown</v>
      </c>
      <c r="L24" s="18" t="s">
        <v>188</v>
      </c>
      <c r="M24" s="21"/>
      <c r="N24" s="22" t="s">
        <v>160</v>
      </c>
      <c r="O24" s="18"/>
      <c r="P24" s="18" t="s">
        <v>212</v>
      </c>
      <c r="Q24" s="18"/>
      <c r="S24" t="s">
        <v>538</v>
      </c>
    </row>
    <row r="25" spans="1:19" ht="48" x14ac:dyDescent="0.2">
      <c r="A25" s="1">
        <v>171470</v>
      </c>
      <c r="B25" s="2">
        <v>43769.868680555563</v>
      </c>
      <c r="C25" s="30" t="s">
        <v>105</v>
      </c>
      <c r="D25" s="30" t="s">
        <v>166</v>
      </c>
      <c r="E25" s="30" t="s">
        <v>675</v>
      </c>
      <c r="F25" s="30" t="s">
        <v>672</v>
      </c>
      <c r="G25" s="30" t="s">
        <v>502</v>
      </c>
      <c r="H2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25" s="30"/>
      <c r="J25" s="30"/>
      <c r="K25" s="5" t="str">
        <f>getIntent(Table24[[#This Row],[action]],Table24[[#This Row],[product family]],Table24[[#This Row],[detailed product]],Table24[[#This Row],[action attribute]])</f>
        <v>Client needs information about the not approved for an unspecified account</v>
      </c>
      <c r="L25" s="18" t="s">
        <v>140</v>
      </c>
      <c r="M25" s="18"/>
      <c r="N25" s="18"/>
      <c r="O25" s="18"/>
      <c r="P25" s="18" t="s">
        <v>212</v>
      </c>
      <c r="Q25" s="22" t="s">
        <v>193</v>
      </c>
    </row>
    <row r="26" spans="1:19" ht="16" x14ac:dyDescent="0.2">
      <c r="A26" s="1">
        <v>170788</v>
      </c>
      <c r="B26" s="2">
        <v>43769.707199074073</v>
      </c>
      <c r="C26" s="27" t="s">
        <v>79</v>
      </c>
      <c r="D26" s="27" t="s">
        <v>188</v>
      </c>
      <c r="E26" s="27" t="s">
        <v>188</v>
      </c>
      <c r="F26" s="27" t="s">
        <v>188</v>
      </c>
      <c r="G26" s="27" t="s">
        <v>664</v>
      </c>
      <c r="H26"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26" s="27"/>
      <c r="J26" s="27"/>
      <c r="K26" s="20" t="str">
        <f>getIntent(Table24[[#This Row],[action]],Table24[[#This Row],[product family]],Table24[[#This Row],[detailed product]],Table24[[#This Row],[action attribute]])</f>
        <v>About something unknown</v>
      </c>
      <c r="L26" s="19" t="s">
        <v>188</v>
      </c>
      <c r="N26" s="40" t="s">
        <v>396</v>
      </c>
      <c r="P26" s="22" t="s">
        <v>188</v>
      </c>
    </row>
    <row r="27" spans="1:19" ht="32" x14ac:dyDescent="0.2">
      <c r="A27" s="1">
        <v>171097</v>
      </c>
      <c r="B27" s="2">
        <v>43769.672442129631</v>
      </c>
      <c r="C27" s="36" t="s">
        <v>121</v>
      </c>
      <c r="D27" s="36" t="s">
        <v>436</v>
      </c>
      <c r="E27" s="36" t="s">
        <v>618</v>
      </c>
      <c r="F27" s="36" t="s">
        <v>672</v>
      </c>
      <c r="G27" s="36" t="s">
        <v>502</v>
      </c>
      <c r="H27"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27" s="36"/>
      <c r="J27" s="36"/>
      <c r="K27" s="5" t="str">
        <f>getIntent(Table24[[#This Row],[action]],Table24[[#This Row],[product family]],Table24[[#This Row],[detailed product]],Table24[[#This Row],[action attribute]])</f>
        <v>Client wants to check the not retrieved for an unspecified payment</v>
      </c>
      <c r="L27" s="16" t="s">
        <v>182</v>
      </c>
      <c r="M27" s="16"/>
      <c r="N27" s="16"/>
      <c r="O27" s="16"/>
      <c r="P27" s="16" t="s">
        <v>192</v>
      </c>
      <c r="Q27" s="16" t="s">
        <v>208</v>
      </c>
    </row>
    <row r="28" spans="1:19" ht="32" x14ac:dyDescent="0.2">
      <c r="A28" s="1">
        <v>169689</v>
      </c>
      <c r="B28" s="2">
        <v>43769.65556712963</v>
      </c>
      <c r="C28" s="29" t="s">
        <v>47</v>
      </c>
      <c r="D28" s="29" t="s">
        <v>396</v>
      </c>
      <c r="E28" s="29" t="s">
        <v>655</v>
      </c>
      <c r="F28" s="29" t="s">
        <v>188</v>
      </c>
      <c r="G28" s="29" t="s">
        <v>646</v>
      </c>
      <c r="H28"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compute interest interest and needs instructions</v>
      </c>
      <c r="I28" s="29"/>
      <c r="J28" s="29"/>
      <c r="K28" s="5" t="str">
        <f>getIntent(Table24[[#This Row],[action]],Table24[[#This Row],[product family]],Table24[[#This Row],[detailed product]],Table24[[#This Row],[action attribute]])</f>
        <v>Client needs information about an unspecified account</v>
      </c>
      <c r="L28" s="18" t="s">
        <v>140</v>
      </c>
      <c r="M28" s="18"/>
      <c r="N28" s="18" t="s">
        <v>396</v>
      </c>
      <c r="O28" s="18"/>
      <c r="P28" s="18" t="s">
        <v>212</v>
      </c>
      <c r="Q28" s="18"/>
      <c r="S28" t="s">
        <v>545</v>
      </c>
    </row>
    <row r="29" spans="1:19" ht="32" x14ac:dyDescent="0.2">
      <c r="A29" s="1">
        <v>170035</v>
      </c>
      <c r="B29" s="2">
        <v>43769.277141203696</v>
      </c>
      <c r="C29" s="25" t="s">
        <v>85</v>
      </c>
      <c r="D29" s="25" t="s">
        <v>188</v>
      </c>
      <c r="E29" s="25" t="s">
        <v>188</v>
      </c>
      <c r="F29" s="25" t="s">
        <v>188</v>
      </c>
      <c r="G29" s="25" t="s">
        <v>665</v>
      </c>
      <c r="H29"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29" s="25"/>
      <c r="J29" s="25"/>
      <c r="K29" s="5" t="str">
        <f>getIntent(Table24[[#This Row],[action]],Table24[[#This Row],[product family]],Table24[[#This Row],[detailed product]],Table24[[#This Row],[action attribute]])</f>
        <v>About something unknown</v>
      </c>
      <c r="L29" s="18" t="s">
        <v>188</v>
      </c>
      <c r="M29" s="18" t="s">
        <v>188</v>
      </c>
      <c r="N29" s="18" t="s">
        <v>188</v>
      </c>
      <c r="O29" s="18" t="s">
        <v>188</v>
      </c>
      <c r="P29" s="18" t="s">
        <v>188</v>
      </c>
      <c r="Q29" s="18" t="s">
        <v>188</v>
      </c>
      <c r="R29" t="s">
        <v>536</v>
      </c>
    </row>
    <row r="30" spans="1:19" ht="32" x14ac:dyDescent="0.2">
      <c r="A30" s="1">
        <v>169467</v>
      </c>
      <c r="B30" s="2">
        <v>43769.232407407413</v>
      </c>
      <c r="C30" s="24" t="s">
        <v>5</v>
      </c>
      <c r="D30" s="24" t="s">
        <v>670</v>
      </c>
      <c r="E30" s="24" t="s">
        <v>188</v>
      </c>
      <c r="F30" s="24" t="s">
        <v>188</v>
      </c>
      <c r="G30" s="24" t="s">
        <v>671</v>
      </c>
      <c r="H30"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30" s="24"/>
      <c r="J30" s="24"/>
      <c r="K30" s="5" t="str">
        <f>getIntent(Table24[[#This Row],[action]],Table24[[#This Row],[product family]],Table24[[#This Row],[detailed product]],Table24[[#This Row],[action attribute]])</f>
        <v>About something unknown</v>
      </c>
      <c r="L30" t="s">
        <v>188</v>
      </c>
      <c r="M30" t="s">
        <v>188</v>
      </c>
      <c r="N30" t="s">
        <v>188</v>
      </c>
      <c r="O30" t="s">
        <v>188</v>
      </c>
      <c r="P30" t="s">
        <v>188</v>
      </c>
      <c r="Q30" t="s">
        <v>188</v>
      </c>
      <c r="R30" t="s">
        <v>530</v>
      </c>
    </row>
    <row r="31" spans="1:19" ht="32" x14ac:dyDescent="0.2">
      <c r="A31" s="1">
        <v>169477</v>
      </c>
      <c r="B31" s="2">
        <v>43769.198229166657</v>
      </c>
      <c r="C31" s="24" t="s">
        <v>30</v>
      </c>
      <c r="D31" s="24" t="s">
        <v>670</v>
      </c>
      <c r="E31" s="24" t="s">
        <v>188</v>
      </c>
      <c r="F31" s="24" t="s">
        <v>188</v>
      </c>
      <c r="G31" s="24" t="s">
        <v>671</v>
      </c>
      <c r="H31"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31" s="24"/>
      <c r="J31" s="24"/>
      <c r="K31" s="5" t="str">
        <f>getIntent(Table24[[#This Row],[action]],Table24[[#This Row],[product family]],Table24[[#This Row],[detailed product]],Table24[[#This Row],[action attribute]])</f>
        <v>About something unknown</v>
      </c>
      <c r="L31" s="18" t="s">
        <v>188</v>
      </c>
      <c r="M31" s="18" t="s">
        <v>188</v>
      </c>
      <c r="N31" s="18" t="s">
        <v>188</v>
      </c>
      <c r="O31" s="18" t="s">
        <v>188</v>
      </c>
      <c r="P31" s="18" t="s">
        <v>188</v>
      </c>
      <c r="Q31" s="18" t="s">
        <v>188</v>
      </c>
      <c r="R31" t="s">
        <v>530</v>
      </c>
    </row>
    <row r="32" spans="1:19" ht="64" x14ac:dyDescent="0.2">
      <c r="A32" s="1">
        <v>170491</v>
      </c>
      <c r="B32" s="2">
        <v>43769.179305555554</v>
      </c>
      <c r="C32" s="31" t="s">
        <v>33</v>
      </c>
      <c r="D32" s="31" t="s">
        <v>616</v>
      </c>
      <c r="E32" s="31" t="s">
        <v>669</v>
      </c>
      <c r="F32" s="31" t="s">
        <v>619</v>
      </c>
      <c r="G32" s="31" t="s">
        <v>646</v>
      </c>
      <c r="H32"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32" s="31"/>
      <c r="J32" s="31"/>
      <c r="K32" s="5" t="str">
        <f>getIntent(Table24[[#This Row],[action]],Table24[[#This Row],[product family]],Table24[[#This Row],[detailed product]],Table24[[#This Row],[action attribute]])</f>
        <v>Client needs information about the id means for something unknown</v>
      </c>
      <c r="L32" s="18" t="s">
        <v>188</v>
      </c>
      <c r="M32" s="18"/>
      <c r="N32" s="18"/>
      <c r="O32" s="18"/>
      <c r="P32" s="18" t="s">
        <v>212</v>
      </c>
      <c r="Q32" s="18" t="s">
        <v>548</v>
      </c>
    </row>
    <row r="33" spans="1:19" ht="32" x14ac:dyDescent="0.2">
      <c r="A33" s="1">
        <v>173049</v>
      </c>
      <c r="B33" s="2">
        <v>43768.209618055553</v>
      </c>
      <c r="C33" s="36" t="s">
        <v>26</v>
      </c>
      <c r="D33" s="36" t="s">
        <v>436</v>
      </c>
      <c r="E33" s="36" t="s">
        <v>618</v>
      </c>
      <c r="F33" s="36" t="s">
        <v>672</v>
      </c>
      <c r="G33" s="36" t="s">
        <v>502</v>
      </c>
      <c r="H33"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33" s="36"/>
      <c r="J33" s="36"/>
      <c r="K33" s="5" t="str">
        <f>getIntent(Table24[[#This Row],[action]],Table24[[#This Row],[product family]],Table24[[#This Row],[detailed product]],Table24[[#This Row],[action attribute]])</f>
        <v>Client wants to check the not retrieved for an unspecified payment</v>
      </c>
      <c r="L33" s="18" t="s">
        <v>182</v>
      </c>
      <c r="M33" s="18"/>
      <c r="N33" s="18"/>
      <c r="O33" s="18"/>
      <c r="P33" s="18" t="s">
        <v>192</v>
      </c>
      <c r="Q33" s="18" t="s">
        <v>208</v>
      </c>
    </row>
    <row r="34" spans="1:19" ht="48" x14ac:dyDescent="0.2">
      <c r="A34" s="1">
        <v>144739</v>
      </c>
      <c r="B34" s="2">
        <v>43767.530011574083</v>
      </c>
      <c r="C34" s="33" t="s">
        <v>131</v>
      </c>
      <c r="D34" s="33" t="s">
        <v>616</v>
      </c>
      <c r="E34" s="33" t="s">
        <v>674</v>
      </c>
      <c r="F34" s="33" t="s">
        <v>242</v>
      </c>
      <c r="G34" s="33" t="s">
        <v>646</v>
      </c>
      <c r="H34"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add phone number credentials because of update and needs instructions</v>
      </c>
      <c r="I34" s="33"/>
      <c r="J34" s="33"/>
      <c r="K34" s="5" t="str">
        <f>getIntent(Table24[[#This Row],[action]],Table24[[#This Row],[product family]],Table24[[#This Row],[detailed product]],Table24[[#This Row],[action attribute]])</f>
        <v>Client wants to change + something unknown</v>
      </c>
      <c r="L34" s="18" t="s">
        <v>188</v>
      </c>
      <c r="M34" s="18"/>
      <c r="N34" s="18" t="s">
        <v>447</v>
      </c>
      <c r="O34" s="18"/>
      <c r="P34" s="18" t="s">
        <v>186</v>
      </c>
      <c r="Q34" s="18"/>
    </row>
    <row r="35" spans="1:19" ht="64" x14ac:dyDescent="0.2">
      <c r="A35" s="1">
        <v>146512</v>
      </c>
      <c r="B35" s="2">
        <v>43767.254108796304</v>
      </c>
      <c r="C35" s="31" t="s">
        <v>74</v>
      </c>
      <c r="D35" s="31" t="s">
        <v>616</v>
      </c>
      <c r="E35" s="31" t="s">
        <v>628</v>
      </c>
      <c r="F35" s="31" t="s">
        <v>242</v>
      </c>
      <c r="G35" s="31" t="s">
        <v>646</v>
      </c>
      <c r="H35"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wrong credentials credentials because of update and needs instructions</v>
      </c>
      <c r="I35" s="31"/>
      <c r="J35" s="31"/>
      <c r="K35" s="5" t="str">
        <f>getIntent(Table24[[#This Row],[action]],Table24[[#This Row],[product family]],Table24[[#This Row],[detailed product]],Table24[[#This Row],[action attribute]])</f>
        <v>About something unknown</v>
      </c>
      <c r="L35" s="22" t="s">
        <v>188</v>
      </c>
      <c r="P35" s="22" t="s">
        <v>188</v>
      </c>
      <c r="S35" t="s">
        <v>549</v>
      </c>
    </row>
    <row r="36" spans="1:19" ht="32" x14ac:dyDescent="0.2">
      <c r="A36" s="1">
        <v>145651</v>
      </c>
      <c r="B36" s="2">
        <v>43767.155486111107</v>
      </c>
      <c r="C36" s="36" t="s">
        <v>7</v>
      </c>
      <c r="D36" s="36" t="s">
        <v>436</v>
      </c>
      <c r="E36" s="36" t="s">
        <v>618</v>
      </c>
      <c r="F36" s="36" t="s">
        <v>672</v>
      </c>
      <c r="G36" s="36" t="s">
        <v>502</v>
      </c>
      <c r="H36"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36" s="36"/>
      <c r="J36" s="36"/>
      <c r="K36" s="5" t="str">
        <f>getIntent(Table24[[#This Row],[action]],Table24[[#This Row],[product family]],Table24[[#This Row],[detailed product]],Table24[[#This Row],[action attribute]])</f>
        <v>Client wants to check the not retrieved for an unspecified payment</v>
      </c>
      <c r="L36" t="s">
        <v>182</v>
      </c>
      <c r="P36" t="s">
        <v>192</v>
      </c>
      <c r="Q36" t="s">
        <v>208</v>
      </c>
    </row>
    <row r="37" spans="1:19" ht="32" x14ac:dyDescent="0.2">
      <c r="A37" s="1">
        <v>149974</v>
      </c>
      <c r="B37" s="2">
        <v>43766.676793981482</v>
      </c>
      <c r="C37" s="34" t="s">
        <v>99</v>
      </c>
      <c r="D37" s="34" t="s">
        <v>436</v>
      </c>
      <c r="E37" s="34" t="s">
        <v>656</v>
      </c>
      <c r="F37" s="34" t="s">
        <v>188</v>
      </c>
      <c r="G37" s="34" t="s">
        <v>666</v>
      </c>
      <c r="H37" s="3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know the fees payment and needs information</v>
      </c>
      <c r="I37" s="34"/>
      <c r="J37" s="34"/>
      <c r="K37" s="5" t="str">
        <f>getIntent(Table24[[#This Row],[action]],Table24[[#This Row],[product family]],Table24[[#This Row],[detailed product]],Table24[[#This Row],[action attribute]])</f>
        <v>Client needs information about the fee for an unspecified payment</v>
      </c>
      <c r="L37" s="16" t="s">
        <v>182</v>
      </c>
      <c r="M37" s="16"/>
      <c r="N37" s="16"/>
      <c r="O37" s="16"/>
      <c r="P37" s="16" t="s">
        <v>212</v>
      </c>
      <c r="Q37" s="16" t="s">
        <v>552</v>
      </c>
    </row>
    <row r="38" spans="1:19" ht="16" x14ac:dyDescent="0.2">
      <c r="A38" s="1">
        <v>151872</v>
      </c>
      <c r="B38" s="2">
        <v>43766.555208333331</v>
      </c>
      <c r="C38" s="26" t="s">
        <v>113</v>
      </c>
      <c r="D38" s="26" t="s">
        <v>188</v>
      </c>
      <c r="E38" s="26" t="s">
        <v>188</v>
      </c>
      <c r="F38" s="26" t="s">
        <v>188</v>
      </c>
      <c r="G38" s="26" t="s">
        <v>664</v>
      </c>
      <c r="H38"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38" s="26"/>
      <c r="J38" s="26"/>
      <c r="K38" s="5" t="str">
        <f>getIntent(Table24[[#This Row],[action]],Table24[[#This Row],[product family]],Table24[[#This Row],[detailed product]],Table24[[#This Row],[action attribute]])</f>
        <v>About something unknown</v>
      </c>
      <c r="L38" t="s">
        <v>188</v>
      </c>
      <c r="M38" t="s">
        <v>188</v>
      </c>
      <c r="N38" t="s">
        <v>188</v>
      </c>
      <c r="O38" t="s">
        <v>188</v>
      </c>
      <c r="P38" t="s">
        <v>188</v>
      </c>
      <c r="Q38" t="s">
        <v>188</v>
      </c>
    </row>
    <row r="39" spans="1:19" ht="32" x14ac:dyDescent="0.2">
      <c r="A39" s="1">
        <v>151131</v>
      </c>
      <c r="B39" s="2">
        <v>43766.418194444443</v>
      </c>
      <c r="C39" s="24" t="s">
        <v>30</v>
      </c>
      <c r="D39" s="24" t="s">
        <v>670</v>
      </c>
      <c r="E39" s="24" t="s">
        <v>188</v>
      </c>
      <c r="F39" s="24" t="s">
        <v>188</v>
      </c>
      <c r="G39" s="24" t="s">
        <v>671</v>
      </c>
      <c r="H39"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39" s="24"/>
      <c r="J39" s="24"/>
      <c r="K39" s="5" t="str">
        <f>getIntent(Table24[[#This Row],[action]],Table24[[#This Row],[product family]],Table24[[#This Row],[detailed product]],Table24[[#This Row],[action attribute]])</f>
        <v>About something unknown</v>
      </c>
      <c r="L39" s="18" t="s">
        <v>188</v>
      </c>
      <c r="M39" s="18" t="s">
        <v>188</v>
      </c>
      <c r="N39" s="18" t="s">
        <v>188</v>
      </c>
      <c r="O39" s="18" t="s">
        <v>188</v>
      </c>
      <c r="P39" s="18" t="s">
        <v>188</v>
      </c>
      <c r="Q39" s="18" t="s">
        <v>188</v>
      </c>
      <c r="R39" t="s">
        <v>530</v>
      </c>
    </row>
    <row r="40" spans="1:19" ht="32" x14ac:dyDescent="0.2">
      <c r="A40" s="1">
        <v>151248</v>
      </c>
      <c r="B40" s="2">
        <v>43766.137372685182</v>
      </c>
      <c r="C40" s="36" t="s">
        <v>35</v>
      </c>
      <c r="D40" s="36" t="s">
        <v>436</v>
      </c>
      <c r="E40" s="36" t="s">
        <v>618</v>
      </c>
      <c r="F40" s="36" t="s">
        <v>672</v>
      </c>
      <c r="G40" s="36" t="s">
        <v>502</v>
      </c>
      <c r="H40"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40" s="36"/>
      <c r="J40" s="36"/>
      <c r="K40" s="5" t="str">
        <f>getIntent(Table24[[#This Row],[action]],Table24[[#This Row],[product family]],Table24[[#This Row],[detailed product]],Table24[[#This Row],[action attribute]])</f>
        <v>Client wants to check the not retrieved for an unspecified payment</v>
      </c>
      <c r="L40" s="18" t="s">
        <v>182</v>
      </c>
      <c r="M40" s="18"/>
      <c r="N40" s="18"/>
      <c r="O40" s="18"/>
      <c r="P40" s="18" t="s">
        <v>192</v>
      </c>
      <c r="Q40" s="18" t="s">
        <v>208</v>
      </c>
    </row>
    <row r="41" spans="1:19" ht="48" x14ac:dyDescent="0.2">
      <c r="A41" s="1">
        <v>150774</v>
      </c>
      <c r="B41" s="2">
        <v>43766.065833333327</v>
      </c>
      <c r="C41" s="29" t="s">
        <v>59</v>
      </c>
      <c r="D41" s="29" t="s">
        <v>436</v>
      </c>
      <c r="E41" s="29" t="s">
        <v>647</v>
      </c>
      <c r="F41" s="29" t="s">
        <v>188</v>
      </c>
      <c r="G41" s="29" t="s">
        <v>646</v>
      </c>
      <c r="H41"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do bank-bank deposit payment and needs instructions</v>
      </c>
      <c r="I41" s="29"/>
      <c r="J41" s="29"/>
      <c r="K41" s="5" t="str">
        <f>getIntent(Table24[[#This Row],[action]],Table24[[#This Row],[product family]],Table24[[#This Row],[detailed product]],Table24[[#This Row],[action attribute]])</f>
        <v>Client needs information about an unspecified payment</v>
      </c>
      <c r="L41" t="s">
        <v>182</v>
      </c>
      <c r="P41" t="s">
        <v>212</v>
      </c>
    </row>
    <row r="42" spans="1:19" ht="64" x14ac:dyDescent="0.2">
      <c r="A42" s="1">
        <v>151379</v>
      </c>
      <c r="B42" s="2">
        <v>43766.039270833331</v>
      </c>
      <c r="C42" s="31" t="s">
        <v>89</v>
      </c>
      <c r="D42" s="31" t="s">
        <v>616</v>
      </c>
      <c r="E42" s="31" t="s">
        <v>669</v>
      </c>
      <c r="F42" s="31" t="s">
        <v>619</v>
      </c>
      <c r="G42" s="31" t="s">
        <v>646</v>
      </c>
      <c r="H42"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42" s="31"/>
      <c r="J42" s="31"/>
      <c r="K42" s="5" t="str">
        <f>getIntent(Table24[[#This Row],[action]],Table24[[#This Row],[product family]],Table24[[#This Row],[detailed product]],Table24[[#This Row],[action attribute]])</f>
        <v>Client needs information about the id means for something unknown</v>
      </c>
      <c r="L42" s="16" t="s">
        <v>188</v>
      </c>
      <c r="M42" s="16"/>
      <c r="N42" s="16"/>
      <c r="O42" s="16"/>
      <c r="P42" s="16" t="s">
        <v>212</v>
      </c>
      <c r="Q42" s="16" t="s">
        <v>548</v>
      </c>
    </row>
    <row r="43" spans="1:19" ht="32" x14ac:dyDescent="0.2">
      <c r="A43" s="1">
        <v>141213</v>
      </c>
      <c r="B43" s="2">
        <v>43765.797523148147</v>
      </c>
      <c r="C43" s="31" t="s">
        <v>98</v>
      </c>
      <c r="D43" s="31" t="s">
        <v>616</v>
      </c>
      <c r="E43" s="31" t="s">
        <v>188</v>
      </c>
      <c r="F43" s="31" t="s">
        <v>242</v>
      </c>
      <c r="G43" s="31" t="s">
        <v>664</v>
      </c>
      <c r="H43"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credentials because of update and needs to clarify question</v>
      </c>
      <c r="I43" s="31"/>
      <c r="J43" s="31"/>
      <c r="K43" s="5" t="str">
        <f>getIntent(Table24[[#This Row],[action]],Table24[[#This Row],[product family]],Table24[[#This Row],[detailed product]],Table24[[#This Row],[action attribute]])</f>
        <v>Client wants to check the id means for something unknown</v>
      </c>
      <c r="L43" s="16" t="s">
        <v>188</v>
      </c>
      <c r="M43" s="16"/>
      <c r="N43" s="16"/>
      <c r="O43" s="16"/>
      <c r="P43" s="16" t="s">
        <v>192</v>
      </c>
      <c r="Q43" s="16" t="s">
        <v>548</v>
      </c>
    </row>
    <row r="44" spans="1:19" ht="32" x14ac:dyDescent="0.2">
      <c r="A44" s="1">
        <v>141635</v>
      </c>
      <c r="B44" s="2">
        <v>43765.579652777778</v>
      </c>
      <c r="C44" s="30" t="s">
        <v>109</v>
      </c>
      <c r="D44" s="30" t="s">
        <v>188</v>
      </c>
      <c r="E44" s="30" t="s">
        <v>662</v>
      </c>
      <c r="F44" s="30" t="s">
        <v>188</v>
      </c>
      <c r="G44" s="30" t="s">
        <v>664</v>
      </c>
      <c r="H44"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has verification issues and needs to clarify question</v>
      </c>
      <c r="I44" s="30"/>
      <c r="J44" s="30"/>
      <c r="K44" s="5" t="str">
        <f>getIntent(Table24[[#This Row],[action]],Table24[[#This Row],[product family]],Table24[[#This Row],[detailed product]],Table24[[#This Row],[action attribute]])</f>
        <v>Client wants to check the not approved for an unspecified account</v>
      </c>
      <c r="L44" s="18" t="s">
        <v>140</v>
      </c>
      <c r="M44" s="18"/>
      <c r="N44" s="18"/>
      <c r="O44" s="18"/>
      <c r="P44" s="18" t="s">
        <v>192</v>
      </c>
      <c r="Q44" s="18" t="s">
        <v>193</v>
      </c>
    </row>
    <row r="45" spans="1:19" ht="32" x14ac:dyDescent="0.2">
      <c r="A45" s="1">
        <v>142177</v>
      </c>
      <c r="B45" s="2">
        <v>43765.401458333326</v>
      </c>
      <c r="C45" s="25" t="s">
        <v>87</v>
      </c>
      <c r="D45" s="25" t="s">
        <v>188</v>
      </c>
      <c r="E45" s="25" t="s">
        <v>188</v>
      </c>
      <c r="F45" s="25" t="s">
        <v>188</v>
      </c>
      <c r="G45" s="25" t="s">
        <v>665</v>
      </c>
      <c r="H45"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45" s="25"/>
      <c r="J45" s="25"/>
      <c r="K45" s="5" t="str">
        <f>getIntent(Table24[[#This Row],[action]],Table24[[#This Row],[product family]],Table24[[#This Row],[detailed product]],Table24[[#This Row],[action attribute]])</f>
        <v>About something unknown</v>
      </c>
      <c r="L45" s="18" t="s">
        <v>188</v>
      </c>
      <c r="M45" s="18" t="s">
        <v>188</v>
      </c>
      <c r="N45" s="18" t="s">
        <v>188</v>
      </c>
      <c r="O45" s="18" t="s">
        <v>188</v>
      </c>
      <c r="P45" s="18" t="s">
        <v>188</v>
      </c>
      <c r="Q45" s="18" t="s">
        <v>188</v>
      </c>
      <c r="R45" t="s">
        <v>536</v>
      </c>
    </row>
    <row r="46" spans="1:19" ht="32" x14ac:dyDescent="0.2">
      <c r="A46" s="1">
        <v>140553</v>
      </c>
      <c r="B46" s="2">
        <v>43765.361331018517</v>
      </c>
      <c r="C46" s="34" t="s">
        <v>3</v>
      </c>
      <c r="D46" s="34" t="s">
        <v>166</v>
      </c>
      <c r="E46" s="34" t="s">
        <v>188</v>
      </c>
      <c r="F46" s="34" t="s">
        <v>188</v>
      </c>
      <c r="G46" s="34" t="s">
        <v>664</v>
      </c>
      <c r="H46" s="3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account and needs to clarify question</v>
      </c>
      <c r="I46" s="34"/>
      <c r="J46" s="34"/>
      <c r="K46" s="5" t="str">
        <f>getIntent(Table24[[#This Row],[action]],Table24[[#This Row],[product family]],Table24[[#This Row],[detailed product]],Table24[[#This Row],[action attribute]])</f>
        <v>Client needs information about the safe for something unknown</v>
      </c>
      <c r="L46" s="18" t="s">
        <v>188</v>
      </c>
      <c r="M46" s="18"/>
      <c r="N46" s="18"/>
      <c r="O46" s="18"/>
      <c r="P46" s="18" t="s">
        <v>212</v>
      </c>
      <c r="Q46" s="18" t="s">
        <v>532</v>
      </c>
    </row>
    <row r="47" spans="1:19" ht="48" x14ac:dyDescent="0.2">
      <c r="A47" s="1">
        <v>142137</v>
      </c>
      <c r="B47" s="2">
        <v>43765.307615740741</v>
      </c>
      <c r="C47" s="31" t="s">
        <v>57</v>
      </c>
      <c r="D47" s="31" t="s">
        <v>616</v>
      </c>
      <c r="E47" s="31" t="s">
        <v>629</v>
      </c>
      <c r="F47" s="31" t="s">
        <v>242</v>
      </c>
      <c r="G47" s="31" t="s">
        <v>646</v>
      </c>
      <c r="H47"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id in maiden name account in married name credentials because of update and needs instructions</v>
      </c>
      <c r="I47" s="31"/>
      <c r="J47" s="31"/>
      <c r="K47" s="5" t="str">
        <f>getIntent(Table24[[#This Row],[action]],Table24[[#This Row],[product family]],Table24[[#This Row],[detailed product]],Table24[[#This Row],[action attribute]])</f>
        <v>About something unknown</v>
      </c>
      <c r="L47" s="21" t="s">
        <v>188</v>
      </c>
      <c r="M47" s="18"/>
      <c r="N47" s="18"/>
      <c r="O47" s="18"/>
      <c r="P47" s="22" t="s">
        <v>188</v>
      </c>
      <c r="Q47" s="18"/>
      <c r="S47" t="s">
        <v>545</v>
      </c>
    </row>
    <row r="48" spans="1:19" ht="32" x14ac:dyDescent="0.2">
      <c r="A48" s="1">
        <v>142044</v>
      </c>
      <c r="B48" s="2">
        <v>43765.250844907408</v>
      </c>
      <c r="C48" s="33" t="s">
        <v>133</v>
      </c>
      <c r="D48" s="33" t="s">
        <v>616</v>
      </c>
      <c r="E48" s="33" t="s">
        <v>188</v>
      </c>
      <c r="F48" s="33" t="s">
        <v>242</v>
      </c>
      <c r="G48" s="33" t="s">
        <v>646</v>
      </c>
      <c r="H48"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credentials because of update and needs instructions</v>
      </c>
      <c r="I48" s="33"/>
      <c r="J48" s="33"/>
      <c r="K48" s="5" t="str">
        <f>getIntent(Table24[[#This Row],[action]],Table24[[#This Row],[product family]],Table24[[#This Row],[detailed product]],Table24[[#This Row],[action attribute]])</f>
        <v>Client wants to change something unknown</v>
      </c>
      <c r="L48" s="18" t="s">
        <v>188</v>
      </c>
      <c r="M48" s="18"/>
      <c r="N48" s="18" t="s">
        <v>210</v>
      </c>
      <c r="O48" s="18"/>
      <c r="P48" s="18" t="s">
        <v>174</v>
      </c>
      <c r="Q48" s="18"/>
    </row>
    <row r="49" spans="1:18" ht="48" x14ac:dyDescent="0.2">
      <c r="A49" s="1">
        <v>140686</v>
      </c>
      <c r="B49" s="2">
        <v>43765.248495370368</v>
      </c>
      <c r="C49" s="30" t="s">
        <v>102</v>
      </c>
      <c r="D49" s="30" t="s">
        <v>166</v>
      </c>
      <c r="E49" s="30" t="s">
        <v>675</v>
      </c>
      <c r="F49" s="30" t="s">
        <v>672</v>
      </c>
      <c r="G49" s="30" t="s">
        <v>502</v>
      </c>
      <c r="H49"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49" s="30"/>
      <c r="J49" s="30"/>
      <c r="K49" s="5" t="str">
        <f>getIntent(Table24[[#This Row],[action]],Table24[[#This Row],[product family]],Table24[[#This Row],[detailed product]],Table24[[#This Row],[action attribute]])</f>
        <v>Client needs information about the not approved for an unspecified account</v>
      </c>
      <c r="L49" s="18" t="s">
        <v>140</v>
      </c>
      <c r="M49" s="18"/>
      <c r="N49" s="18"/>
      <c r="O49" s="18"/>
      <c r="P49" s="18" t="s">
        <v>212</v>
      </c>
      <c r="Q49" s="21" t="s">
        <v>193</v>
      </c>
    </row>
    <row r="50" spans="1:18" ht="32" x14ac:dyDescent="0.2">
      <c r="A50" s="1">
        <v>140632</v>
      </c>
      <c r="B50" s="2">
        <v>43765.210150462961</v>
      </c>
      <c r="C50" s="27" t="s">
        <v>96</v>
      </c>
      <c r="D50" s="27" t="s">
        <v>188</v>
      </c>
      <c r="E50" s="27" t="s">
        <v>188</v>
      </c>
      <c r="F50" s="27" t="s">
        <v>188</v>
      </c>
      <c r="G50" s="27" t="s">
        <v>667</v>
      </c>
      <c r="H50"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50" s="27"/>
      <c r="J50" s="27"/>
      <c r="K50" s="5" t="str">
        <f>getIntent(Table24[[#This Row],[action]],Table24[[#This Row],[product family]],Table24[[#This Row],[detailed product]],Table24[[#This Row],[action attribute]])</f>
        <v>About something unknown</v>
      </c>
      <c r="L50" t="s">
        <v>188</v>
      </c>
      <c r="M50" t="s">
        <v>188</v>
      </c>
      <c r="N50" t="s">
        <v>188</v>
      </c>
      <c r="O50" t="s">
        <v>188</v>
      </c>
      <c r="P50" s="22" t="s">
        <v>188</v>
      </c>
      <c r="Q50" t="s">
        <v>188</v>
      </c>
    </row>
    <row r="51" spans="1:18" ht="64" x14ac:dyDescent="0.2">
      <c r="A51" s="1">
        <v>141591</v>
      </c>
      <c r="B51" s="2">
        <v>43764.952916666669</v>
      </c>
      <c r="C51" s="31" t="s">
        <v>107</v>
      </c>
      <c r="D51" s="31" t="s">
        <v>616</v>
      </c>
      <c r="E51" s="31" t="s">
        <v>669</v>
      </c>
      <c r="F51" s="31" t="s">
        <v>619</v>
      </c>
      <c r="G51" s="31" t="s">
        <v>646</v>
      </c>
      <c r="H51"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51" s="31"/>
      <c r="J51" s="31"/>
      <c r="K51" s="5" t="str">
        <f>getIntent(Table24[[#This Row],[action]],Table24[[#This Row],[product family]],Table24[[#This Row],[detailed product]],Table24[[#This Row],[action attribute]])</f>
        <v>Client needs information about the id means for something unknown</v>
      </c>
      <c r="L51" s="16" t="s">
        <v>188</v>
      </c>
      <c r="M51" s="16"/>
      <c r="N51" s="16"/>
      <c r="O51" s="16"/>
      <c r="P51" s="16" t="s">
        <v>212</v>
      </c>
      <c r="Q51" s="16" t="s">
        <v>548</v>
      </c>
    </row>
    <row r="52" spans="1:18" ht="64" x14ac:dyDescent="0.2">
      <c r="A52" s="1">
        <v>159916</v>
      </c>
      <c r="B52" s="2">
        <v>43764.262928240743</v>
      </c>
      <c r="C52" s="31" t="s">
        <v>53</v>
      </c>
      <c r="D52" s="31" t="s">
        <v>616</v>
      </c>
      <c r="E52" s="31" t="s">
        <v>669</v>
      </c>
      <c r="F52" s="31" t="s">
        <v>619</v>
      </c>
      <c r="G52" s="31" t="s">
        <v>646</v>
      </c>
      <c r="H52"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52" s="31"/>
      <c r="J52" s="31"/>
      <c r="K52" s="5" t="str">
        <f>getIntent(Table24[[#This Row],[action]],Table24[[#This Row],[product family]],Table24[[#This Row],[detailed product]],Table24[[#This Row],[action attribute]])</f>
        <v>Client needs information about the id means for something unknown</v>
      </c>
      <c r="L52" s="18" t="s">
        <v>188</v>
      </c>
      <c r="M52" s="18"/>
      <c r="N52" s="18"/>
      <c r="O52" s="18"/>
      <c r="P52" s="18" t="s">
        <v>212</v>
      </c>
      <c r="Q52" s="18" t="s">
        <v>548</v>
      </c>
    </row>
    <row r="53" spans="1:18" ht="48" x14ac:dyDescent="0.2">
      <c r="A53" s="1">
        <v>160939</v>
      </c>
      <c r="B53" s="2">
        <v>43764.202407407407</v>
      </c>
      <c r="C53" s="28" t="s">
        <v>20</v>
      </c>
      <c r="D53" s="28" t="s">
        <v>188</v>
      </c>
      <c r="E53" s="28" t="s">
        <v>188</v>
      </c>
      <c r="F53" s="28" t="s">
        <v>639</v>
      </c>
      <c r="G53" s="28" t="s">
        <v>664</v>
      </c>
      <c r="H53" s="28"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because of disconnected dialogue and needs to clarify question</v>
      </c>
      <c r="I53" s="28"/>
      <c r="J53" s="28"/>
      <c r="K53" s="5" t="str">
        <f>getIntent(Table24[[#This Row],[action]],Table24[[#This Row],[product family]],Table24[[#This Row],[detailed product]],Table24[[#This Row],[action attribute]])</f>
        <v>About something unknown</v>
      </c>
      <c r="L53" s="18" t="s">
        <v>188</v>
      </c>
      <c r="M53" s="18" t="s">
        <v>188</v>
      </c>
      <c r="N53" s="18" t="s">
        <v>188</v>
      </c>
      <c r="O53" s="18" t="s">
        <v>188</v>
      </c>
      <c r="P53" s="18" t="s">
        <v>188</v>
      </c>
      <c r="Q53" s="18" t="s">
        <v>188</v>
      </c>
      <c r="R53" t="s">
        <v>544</v>
      </c>
    </row>
    <row r="54" spans="1:18" ht="48" x14ac:dyDescent="0.2">
      <c r="A54" s="1">
        <v>159251</v>
      </c>
      <c r="B54" s="2">
        <v>43764.044409722221</v>
      </c>
      <c r="C54" s="32" t="s">
        <v>71</v>
      </c>
      <c r="D54" s="32" t="s">
        <v>188</v>
      </c>
      <c r="E54" s="32" t="s">
        <v>635</v>
      </c>
      <c r="F54" s="32" t="s">
        <v>620</v>
      </c>
      <c r="G54" s="32" t="s">
        <v>664</v>
      </c>
      <c r="H54"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missing referral code because of missing verification and needs to clarify question</v>
      </c>
      <c r="I54" s="32"/>
      <c r="J54" s="32"/>
      <c r="K54" s="5" t="str">
        <f>getIntent(Table24[[#This Row],[action]],Table24[[#This Row],[product family]],Table24[[#This Row],[detailed product]],Table24[[#This Row],[action attribute]])</f>
        <v>About something unknown</v>
      </c>
      <c r="L54" t="s">
        <v>188</v>
      </c>
      <c r="M54" s="22"/>
      <c r="N54" s="22" t="s">
        <v>160</v>
      </c>
      <c r="P54" s="22" t="s">
        <v>188</v>
      </c>
      <c r="R54" t="s">
        <v>564</v>
      </c>
    </row>
    <row r="55" spans="1:18" ht="64" x14ac:dyDescent="0.2">
      <c r="A55" s="1">
        <v>200147</v>
      </c>
      <c r="B55" s="2">
        <v>43763.643692129634</v>
      </c>
      <c r="C55" s="31" t="s">
        <v>90</v>
      </c>
      <c r="D55" s="31" t="s">
        <v>616</v>
      </c>
      <c r="E55" s="31" t="s">
        <v>669</v>
      </c>
      <c r="F55" s="31" t="s">
        <v>619</v>
      </c>
      <c r="G55" s="31" t="s">
        <v>646</v>
      </c>
      <c r="H55"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55" s="31"/>
      <c r="J55" s="31"/>
      <c r="K55" s="5" t="str">
        <f>getIntent(Table24[[#This Row],[action]],Table24[[#This Row],[product family]],Table24[[#This Row],[detailed product]],Table24[[#This Row],[action attribute]])</f>
        <v>Client needs information about the id means for something unknown</v>
      </c>
      <c r="L55" s="16" t="s">
        <v>188</v>
      </c>
      <c r="M55" s="16"/>
      <c r="N55" s="16"/>
      <c r="O55" s="16"/>
      <c r="P55" s="16" t="s">
        <v>212</v>
      </c>
      <c r="Q55" s="16" t="s">
        <v>548</v>
      </c>
    </row>
    <row r="56" spans="1:18" ht="32" x14ac:dyDescent="0.2">
      <c r="A56" s="1">
        <v>200432</v>
      </c>
      <c r="B56" s="2">
        <v>43763.480821759258</v>
      </c>
      <c r="C56" s="30" t="s">
        <v>67</v>
      </c>
      <c r="D56" s="30" t="s">
        <v>166</v>
      </c>
      <c r="E56" s="30" t="s">
        <v>675</v>
      </c>
      <c r="F56" s="30" t="s">
        <v>242</v>
      </c>
      <c r="G56" s="30" t="s">
        <v>502</v>
      </c>
      <c r="H56"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update and needs status</v>
      </c>
      <c r="I56" s="30"/>
      <c r="J56" s="30"/>
      <c r="K56" s="5" t="str">
        <f>getIntent(Table24[[#This Row],[action]],Table24[[#This Row],[product family]],Table24[[#This Row],[detailed product]],Table24[[#This Row],[action attribute]])</f>
        <v>Client wants to check the not approved for an unspecified account</v>
      </c>
      <c r="L56" s="38" t="s">
        <v>140</v>
      </c>
      <c r="M56" s="10"/>
      <c r="N56" s="10"/>
      <c r="O56" s="10"/>
      <c r="P56" s="38" t="s">
        <v>192</v>
      </c>
      <c r="Q56" s="38" t="s">
        <v>193</v>
      </c>
    </row>
    <row r="57" spans="1:18" ht="48" x14ac:dyDescent="0.2">
      <c r="A57" s="1">
        <v>199735</v>
      </c>
      <c r="B57" s="2">
        <v>43763.433148148149</v>
      </c>
      <c r="C57" s="29" t="s">
        <v>50</v>
      </c>
      <c r="D57" s="29" t="s">
        <v>436</v>
      </c>
      <c r="E57" s="29" t="s">
        <v>653</v>
      </c>
      <c r="F57" s="29" t="s">
        <v>188</v>
      </c>
      <c r="G57" s="29" t="s">
        <v>646</v>
      </c>
      <c r="H57"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do bank-bank transfer payment and needs instructions</v>
      </c>
      <c r="I57" s="29"/>
      <c r="J57" s="29"/>
      <c r="K57" s="5" t="str">
        <f>getIntent(Table24[[#This Row],[action]],Table24[[#This Row],[product family]],Table24[[#This Row],[detailed product]],Table24[[#This Row],[action attribute]])</f>
        <v>Client needs information about an unspecified payment</v>
      </c>
      <c r="L57" s="18" t="s">
        <v>182</v>
      </c>
      <c r="M57" s="18"/>
      <c r="N57" s="18"/>
      <c r="O57" s="18"/>
      <c r="P57" s="18" t="s">
        <v>212</v>
      </c>
      <c r="Q57" s="18"/>
    </row>
    <row r="58" spans="1:18" ht="32" x14ac:dyDescent="0.2">
      <c r="A58" s="1">
        <v>200138</v>
      </c>
      <c r="B58" s="2">
        <v>43763.359375</v>
      </c>
      <c r="C58" s="35" t="s">
        <v>27</v>
      </c>
      <c r="D58" s="35" t="s">
        <v>166</v>
      </c>
      <c r="E58" s="35" t="s">
        <v>188</v>
      </c>
      <c r="F58" s="35" t="s">
        <v>242</v>
      </c>
      <c r="G58" s="35" t="s">
        <v>627</v>
      </c>
      <c r="H58"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account because of update and needs check credentials</v>
      </c>
      <c r="I58" s="35"/>
      <c r="J58" s="35"/>
      <c r="K58" s="5" t="str">
        <f>getIntent(Table24[[#This Row],[action]],Table24[[#This Row],[product family]],Table24[[#This Row],[detailed product]],Table24[[#This Row],[action attribute]])</f>
        <v>About something unknown</v>
      </c>
      <c r="L58" s="18" t="s">
        <v>188</v>
      </c>
      <c r="M58" s="18"/>
      <c r="N58" s="18"/>
      <c r="O58" s="18"/>
      <c r="P58" s="22" t="s">
        <v>188</v>
      </c>
      <c r="Q58" s="18"/>
    </row>
    <row r="59" spans="1:18" ht="16" x14ac:dyDescent="0.2">
      <c r="A59" s="1">
        <v>200043</v>
      </c>
      <c r="B59" s="2">
        <v>43763.352442129632</v>
      </c>
      <c r="C59" s="26" t="s">
        <v>34</v>
      </c>
      <c r="D59" s="26" t="s">
        <v>188</v>
      </c>
      <c r="E59" s="26" t="s">
        <v>188</v>
      </c>
      <c r="F59" s="26" t="s">
        <v>188</v>
      </c>
      <c r="G59" s="26" t="s">
        <v>667</v>
      </c>
      <c r="H59"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59" s="26"/>
      <c r="J59" s="26"/>
      <c r="K59" s="5" t="str">
        <f>getIntent(Table24[[#This Row],[action]],Table24[[#This Row],[product family]],Table24[[#This Row],[detailed product]],Table24[[#This Row],[action attribute]])</f>
        <v>About something unknown</v>
      </c>
      <c r="L59" s="18" t="s">
        <v>188</v>
      </c>
      <c r="M59" s="18"/>
      <c r="N59" s="18"/>
      <c r="O59" s="18"/>
      <c r="P59" s="22" t="s">
        <v>188</v>
      </c>
      <c r="Q59" s="18"/>
    </row>
    <row r="60" spans="1:18" ht="48" x14ac:dyDescent="0.2">
      <c r="A60" s="1">
        <v>199139</v>
      </c>
      <c r="B60" s="2">
        <v>43763.22184027778</v>
      </c>
      <c r="C60" s="35" t="s">
        <v>14</v>
      </c>
      <c r="D60" s="35" t="s">
        <v>436</v>
      </c>
      <c r="E60" s="35" t="s">
        <v>636</v>
      </c>
      <c r="F60" s="35" t="s">
        <v>620</v>
      </c>
      <c r="G60" s="35" t="s">
        <v>638</v>
      </c>
      <c r="H60"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missing sms verification payment because of missing verification and needs check sms</v>
      </c>
      <c r="I60" s="35"/>
      <c r="J60" s="35"/>
      <c r="K60" s="5" t="str">
        <f>getIntent(Table24[[#This Row],[action]],Table24[[#This Row],[product family]],Table24[[#This Row],[detailed product]],Table24[[#This Row],[action attribute]])</f>
        <v>Client wants to check the not retrieved for something unknown</v>
      </c>
      <c r="L60" s="18" t="s">
        <v>188</v>
      </c>
      <c r="M60" s="18"/>
      <c r="N60" s="18"/>
      <c r="O60" s="18" t="s">
        <v>270</v>
      </c>
      <c r="P60" s="18" t="s">
        <v>192</v>
      </c>
      <c r="Q60" s="18" t="s">
        <v>208</v>
      </c>
    </row>
    <row r="61" spans="1:18" ht="32" x14ac:dyDescent="0.2">
      <c r="A61" s="1">
        <v>200803</v>
      </c>
      <c r="B61" s="2">
        <v>43763.049768518518</v>
      </c>
      <c r="C61" s="36" t="s">
        <v>97</v>
      </c>
      <c r="D61" s="36" t="s">
        <v>436</v>
      </c>
      <c r="E61" s="36" t="s">
        <v>618</v>
      </c>
      <c r="F61" s="36" t="s">
        <v>672</v>
      </c>
      <c r="G61" s="36" t="s">
        <v>502</v>
      </c>
      <c r="H61"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61" s="36"/>
      <c r="J61" s="36"/>
      <c r="K61" s="5" t="str">
        <f>getIntent(Table24[[#This Row],[action]],Table24[[#This Row],[product family]],Table24[[#This Row],[detailed product]],Table24[[#This Row],[action attribute]])</f>
        <v>Client wants to check the not retrieved for an unspecified payment</v>
      </c>
      <c r="L61" s="16" t="s">
        <v>182</v>
      </c>
      <c r="M61" s="16"/>
      <c r="N61" s="16"/>
      <c r="O61" s="16"/>
      <c r="P61" s="16" t="s">
        <v>192</v>
      </c>
      <c r="Q61" s="16" t="s">
        <v>208</v>
      </c>
    </row>
    <row r="62" spans="1:18" ht="64" x14ac:dyDescent="0.2">
      <c r="A62" s="1">
        <v>183471</v>
      </c>
      <c r="B62" s="2">
        <v>43762.69734953704</v>
      </c>
      <c r="C62" s="31" t="s">
        <v>39</v>
      </c>
      <c r="D62" s="31" t="s">
        <v>616</v>
      </c>
      <c r="E62" s="31" t="s">
        <v>669</v>
      </c>
      <c r="F62" s="31" t="s">
        <v>619</v>
      </c>
      <c r="G62" s="31" t="s">
        <v>646</v>
      </c>
      <c r="H62"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62" s="31"/>
      <c r="J62" s="31"/>
      <c r="K62" s="5" t="str">
        <f>getIntent(Table24[[#This Row],[action]],Table24[[#This Row],[product family]],Table24[[#This Row],[detailed product]],Table24[[#This Row],[action attribute]])</f>
        <v>Client needs information about the id means for something unknown</v>
      </c>
      <c r="L62" t="s">
        <v>188</v>
      </c>
      <c r="P62" t="s">
        <v>212</v>
      </c>
      <c r="Q62" t="s">
        <v>548</v>
      </c>
    </row>
    <row r="63" spans="1:18" ht="32" x14ac:dyDescent="0.2">
      <c r="A63" s="1">
        <v>182928</v>
      </c>
      <c r="B63" s="2">
        <v>43762.41201388889</v>
      </c>
      <c r="C63" s="25" t="s">
        <v>120</v>
      </c>
      <c r="D63" s="25" t="s">
        <v>188</v>
      </c>
      <c r="E63" s="25" t="s">
        <v>188</v>
      </c>
      <c r="F63" s="25" t="s">
        <v>188</v>
      </c>
      <c r="G63" s="25" t="s">
        <v>665</v>
      </c>
      <c r="H63"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63" s="25"/>
      <c r="J63" s="25"/>
      <c r="K63" s="5" t="str">
        <f>getIntent(Table24[[#This Row],[action]],Table24[[#This Row],[product family]],Table24[[#This Row],[detailed product]],Table24[[#This Row],[action attribute]])</f>
        <v>About something unknown</v>
      </c>
      <c r="L63" t="s">
        <v>188</v>
      </c>
      <c r="M63" t="s">
        <v>188</v>
      </c>
      <c r="N63" t="s">
        <v>188</v>
      </c>
      <c r="O63" t="s">
        <v>188</v>
      </c>
      <c r="P63" t="s">
        <v>188</v>
      </c>
      <c r="Q63" t="s">
        <v>188</v>
      </c>
      <c r="R63" t="s">
        <v>536</v>
      </c>
    </row>
    <row r="64" spans="1:18" ht="48" x14ac:dyDescent="0.2">
      <c r="A64" s="1">
        <v>182134</v>
      </c>
      <c r="B64" s="2">
        <v>43762.322430555563</v>
      </c>
      <c r="C64" s="34" t="s">
        <v>54</v>
      </c>
      <c r="D64" s="34" t="s">
        <v>166</v>
      </c>
      <c r="E64" s="34" t="s">
        <v>657</v>
      </c>
      <c r="F64" s="34" t="s">
        <v>188</v>
      </c>
      <c r="G64" s="34" t="s">
        <v>666</v>
      </c>
      <c r="H64" s="3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know the minimum balance account and needs information</v>
      </c>
      <c r="I64" s="34"/>
      <c r="J64" s="34"/>
      <c r="K64" s="5" t="str">
        <f>getIntent(Table24[[#This Row],[action]],Table24[[#This Row],[product family]],Table24[[#This Row],[detailed product]],Table24[[#This Row],[action attribute]])</f>
        <v>Client needs information about an unspecified account</v>
      </c>
      <c r="L64" s="23" t="s">
        <v>140</v>
      </c>
      <c r="M64" s="17"/>
      <c r="N64" s="17"/>
      <c r="O64" s="17"/>
      <c r="P64" s="23" t="s">
        <v>212</v>
      </c>
      <c r="Q64" s="17"/>
      <c r="R64" t="s">
        <v>566</v>
      </c>
    </row>
    <row r="65" spans="1:19" ht="80" x14ac:dyDescent="0.2">
      <c r="A65" s="1">
        <v>182879</v>
      </c>
      <c r="B65" s="2">
        <v>43762.213865740741</v>
      </c>
      <c r="C65" s="30" t="s">
        <v>129</v>
      </c>
      <c r="D65" s="30" t="s">
        <v>166</v>
      </c>
      <c r="E65" s="30" t="s">
        <v>675</v>
      </c>
      <c r="F65" s="30" t="s">
        <v>242</v>
      </c>
      <c r="G65" s="30" t="s">
        <v>502</v>
      </c>
      <c r="H6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update and needs status</v>
      </c>
      <c r="I65" s="30"/>
      <c r="J65" s="30"/>
      <c r="K65" s="5" t="str">
        <f>getIntent(Table24[[#This Row],[action]],Table24[[#This Row],[product family]],Table24[[#This Row],[detailed product]],Table24[[#This Row],[action attribute]])</f>
        <v>Client wants to check the not approved for an unspecified account</v>
      </c>
      <c r="L65" t="s">
        <v>140</v>
      </c>
      <c r="P65" t="s">
        <v>192</v>
      </c>
      <c r="Q65" t="s">
        <v>193</v>
      </c>
    </row>
    <row r="66" spans="1:19" ht="32" x14ac:dyDescent="0.2">
      <c r="A66" s="1">
        <v>181340</v>
      </c>
      <c r="B66" s="2">
        <v>43762.191400462973</v>
      </c>
      <c r="C66" s="25" t="s">
        <v>80</v>
      </c>
      <c r="D66" s="25" t="s">
        <v>188</v>
      </c>
      <c r="E66" s="25" t="s">
        <v>188</v>
      </c>
      <c r="F66" s="25" t="s">
        <v>188</v>
      </c>
      <c r="G66" s="25" t="s">
        <v>665</v>
      </c>
      <c r="H66"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66" s="25"/>
      <c r="J66" s="25"/>
      <c r="K66" s="5" t="str">
        <f>getIntent(Table24[[#This Row],[action]],Table24[[#This Row],[product family]],Table24[[#This Row],[detailed product]],Table24[[#This Row],[action attribute]])</f>
        <v>About something unknown</v>
      </c>
      <c r="L66" t="s">
        <v>188</v>
      </c>
      <c r="M66" t="s">
        <v>188</v>
      </c>
      <c r="N66" t="s">
        <v>188</v>
      </c>
      <c r="O66" t="s">
        <v>188</v>
      </c>
      <c r="P66" t="s">
        <v>188</v>
      </c>
      <c r="Q66" t="s">
        <v>188</v>
      </c>
      <c r="R66" t="s">
        <v>536</v>
      </c>
    </row>
    <row r="67" spans="1:19" ht="48" x14ac:dyDescent="0.2">
      <c r="A67" s="1">
        <v>183335</v>
      </c>
      <c r="B67" s="2">
        <v>43761.927442129629</v>
      </c>
      <c r="C67" s="29" t="s">
        <v>58</v>
      </c>
      <c r="D67" s="29" t="s">
        <v>436</v>
      </c>
      <c r="E67" s="29" t="s">
        <v>647</v>
      </c>
      <c r="F67" s="29" t="s">
        <v>188</v>
      </c>
      <c r="G67" s="29" t="s">
        <v>646</v>
      </c>
      <c r="H67"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do bank-bank deposit payment and needs instructions</v>
      </c>
      <c r="I67" s="29"/>
      <c r="J67" s="29"/>
      <c r="K67" s="5" t="str">
        <f>getIntent(Table24[[#This Row],[action]],Table24[[#This Row],[product family]],Table24[[#This Row],[detailed product]],Table24[[#This Row],[action attribute]])</f>
        <v>Client needs information about an unspecified payment</v>
      </c>
      <c r="L67" s="18" t="s">
        <v>182</v>
      </c>
      <c r="M67" s="18"/>
      <c r="N67" s="18"/>
      <c r="O67" s="18"/>
      <c r="P67" s="18" t="s">
        <v>212</v>
      </c>
      <c r="Q67" s="18"/>
    </row>
    <row r="68" spans="1:19" ht="48" x14ac:dyDescent="0.2">
      <c r="A68" s="1">
        <v>185590</v>
      </c>
      <c r="B68" s="2">
        <v>43761.102129629631</v>
      </c>
      <c r="C68" s="30" t="s">
        <v>32</v>
      </c>
      <c r="D68" s="30" t="s">
        <v>166</v>
      </c>
      <c r="E68" s="30" t="s">
        <v>675</v>
      </c>
      <c r="F68" s="30" t="s">
        <v>672</v>
      </c>
      <c r="G68" s="30" t="s">
        <v>502</v>
      </c>
      <c r="H68"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68" s="30"/>
      <c r="J68" s="30"/>
      <c r="K68" s="5" t="str">
        <f>getIntent(Table24[[#This Row],[action]],Table24[[#This Row],[product family]],Table24[[#This Row],[detailed product]],Table24[[#This Row],[action attribute]])</f>
        <v>Client needs information about the not approved for an unspecified account</v>
      </c>
      <c r="L68" t="s">
        <v>140</v>
      </c>
      <c r="P68" s="22" t="s">
        <v>212</v>
      </c>
      <c r="Q68" s="22" t="s">
        <v>193</v>
      </c>
    </row>
    <row r="69" spans="1:19" ht="32" x14ac:dyDescent="0.2">
      <c r="A69" s="1">
        <v>198228</v>
      </c>
      <c r="B69" s="2">
        <v>43760.493437500001</v>
      </c>
      <c r="C69" s="35" t="s">
        <v>100</v>
      </c>
      <c r="D69" s="35" t="s">
        <v>436</v>
      </c>
      <c r="E69" s="35" t="s">
        <v>632</v>
      </c>
      <c r="F69" s="35" t="s">
        <v>188</v>
      </c>
      <c r="G69" s="35" t="s">
        <v>666</v>
      </c>
      <c r="H69"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mismatch names payment and needs information</v>
      </c>
      <c r="I69" s="35"/>
      <c r="J69" s="35"/>
      <c r="K69" s="5" t="str">
        <f>getIntent(Table24[[#This Row],[action]],Table24[[#This Row],[product family]],Table24[[#This Row],[detailed product]],Table24[[#This Row],[action attribute]])</f>
        <v>Client needs information about an unspecified payment</v>
      </c>
      <c r="L69" t="s">
        <v>182</v>
      </c>
      <c r="P69" t="s">
        <v>212</v>
      </c>
      <c r="R69" t="s">
        <v>427</v>
      </c>
    </row>
    <row r="70" spans="1:19" ht="32" x14ac:dyDescent="0.2">
      <c r="A70" s="1">
        <v>196546</v>
      </c>
      <c r="B70" s="2">
        <v>43760.196273148147</v>
      </c>
      <c r="C70" s="36" t="s">
        <v>125</v>
      </c>
      <c r="D70" s="36" t="s">
        <v>436</v>
      </c>
      <c r="E70" s="36" t="s">
        <v>618</v>
      </c>
      <c r="F70" s="36" t="s">
        <v>672</v>
      </c>
      <c r="G70" s="36" t="s">
        <v>502</v>
      </c>
      <c r="H70"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70" s="36"/>
      <c r="J70" s="36"/>
      <c r="K70" s="5" t="str">
        <f>getIntent(Table24[[#This Row],[action]],Table24[[#This Row],[product family]],Table24[[#This Row],[detailed product]],Table24[[#This Row],[action attribute]])</f>
        <v>Client wants to check the not retrieved for an unspecified payment</v>
      </c>
      <c r="L70" t="s">
        <v>182</v>
      </c>
      <c r="P70" t="s">
        <v>192</v>
      </c>
      <c r="Q70" s="22" t="s">
        <v>208</v>
      </c>
    </row>
    <row r="71" spans="1:19" ht="32" x14ac:dyDescent="0.2">
      <c r="A71" s="1">
        <v>197936</v>
      </c>
      <c r="B71" s="2">
        <v>43760.011944444443</v>
      </c>
      <c r="C71" s="29" t="s">
        <v>17</v>
      </c>
      <c r="D71" s="29" t="s">
        <v>436</v>
      </c>
      <c r="E71" s="29" t="s">
        <v>654</v>
      </c>
      <c r="F71" s="29" t="s">
        <v>188</v>
      </c>
      <c r="G71" s="29" t="s">
        <v>646</v>
      </c>
      <c r="H71"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withdraw via ATM payment and needs instructions</v>
      </c>
      <c r="I71" s="29"/>
      <c r="J71" s="29"/>
      <c r="K71" s="5" t="str">
        <f>getIntent(Table24[[#This Row],[action]],Table24[[#This Row],[product family]],Table24[[#This Row],[detailed product]],Table24[[#This Row],[action attribute]])</f>
        <v>Client needs information about an unspecified account</v>
      </c>
      <c r="L71" s="23" t="s">
        <v>140</v>
      </c>
      <c r="M71" s="17"/>
      <c r="N71" s="17" t="s">
        <v>521</v>
      </c>
      <c r="O71" s="17" t="s">
        <v>161</v>
      </c>
      <c r="P71" s="17" t="s">
        <v>212</v>
      </c>
      <c r="Q71" s="17"/>
    </row>
    <row r="72" spans="1:19" ht="48" x14ac:dyDescent="0.2">
      <c r="A72" s="1">
        <v>162080</v>
      </c>
      <c r="B72" s="2">
        <v>43759.306898148148</v>
      </c>
      <c r="C72" s="29" t="s">
        <v>22</v>
      </c>
      <c r="D72" s="29" t="s">
        <v>436</v>
      </c>
      <c r="E72" s="29" t="s">
        <v>626</v>
      </c>
      <c r="F72" s="29" t="s">
        <v>188</v>
      </c>
      <c r="G72" s="29" t="s">
        <v>637</v>
      </c>
      <c r="H72"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rejected MC deposit payment and needs reason for rejection</v>
      </c>
      <c r="I72" s="29"/>
      <c r="J72" s="29"/>
      <c r="K72" s="5" t="str">
        <f>getIntent(Table24[[#This Row],[action]],Table24[[#This Row],[product family]],Table24[[#This Row],[detailed product]],Table24[[#This Row],[action attribute]])</f>
        <v>Client wants to check the not retrieved for an unspecified payment</v>
      </c>
      <c r="L72" s="18" t="s">
        <v>182</v>
      </c>
      <c r="M72" s="18"/>
      <c r="N72" s="18"/>
      <c r="O72" s="18"/>
      <c r="P72" s="18" t="s">
        <v>192</v>
      </c>
      <c r="Q72" s="18" t="s">
        <v>208</v>
      </c>
    </row>
    <row r="73" spans="1:19" ht="32" x14ac:dyDescent="0.2">
      <c r="A73" s="1">
        <v>161833</v>
      </c>
      <c r="B73" s="2">
        <v>43759.240069444437</v>
      </c>
      <c r="C73" s="24" t="s">
        <v>5</v>
      </c>
      <c r="D73" s="24" t="s">
        <v>670</v>
      </c>
      <c r="E73" s="24" t="s">
        <v>188</v>
      </c>
      <c r="F73" s="24" t="s">
        <v>188</v>
      </c>
      <c r="G73" s="24" t="s">
        <v>671</v>
      </c>
      <c r="H73"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73" s="24"/>
      <c r="J73" s="24"/>
      <c r="K73" s="5" t="str">
        <f>getIntent(Table24[[#This Row],[action]],Table24[[#This Row],[product family]],Table24[[#This Row],[detailed product]],Table24[[#This Row],[action attribute]])</f>
        <v>About something unknown</v>
      </c>
      <c r="L73" s="18" t="s">
        <v>188</v>
      </c>
      <c r="M73" s="18" t="s">
        <v>188</v>
      </c>
      <c r="N73" s="18" t="s">
        <v>188</v>
      </c>
      <c r="O73" s="18" t="s">
        <v>188</v>
      </c>
      <c r="P73" s="18" t="s">
        <v>188</v>
      </c>
      <c r="Q73" s="18" t="s">
        <v>188</v>
      </c>
      <c r="R73" t="s">
        <v>530</v>
      </c>
    </row>
    <row r="74" spans="1:19" ht="48" x14ac:dyDescent="0.2">
      <c r="A74" s="1">
        <v>136553</v>
      </c>
      <c r="B74" s="2">
        <v>43758.778136574067</v>
      </c>
      <c r="C74" s="30" t="s">
        <v>4</v>
      </c>
      <c r="D74" s="30" t="s">
        <v>166</v>
      </c>
      <c r="E74" s="30" t="s">
        <v>675</v>
      </c>
      <c r="F74" s="30" t="s">
        <v>672</v>
      </c>
      <c r="G74" s="30" t="s">
        <v>502</v>
      </c>
      <c r="H74"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74" s="30"/>
      <c r="J74" s="30"/>
      <c r="K74" s="5" t="str">
        <f>getIntent(Table24[[#This Row],[action]],Table24[[#This Row],[product family]],Table24[[#This Row],[detailed product]],Table24[[#This Row],[action attribute]])</f>
        <v>Client needs information about the not approved for an unspecified account</v>
      </c>
      <c r="L74" s="18" t="s">
        <v>140</v>
      </c>
      <c r="M74" s="18"/>
      <c r="N74" s="18"/>
      <c r="O74" s="18"/>
      <c r="P74" s="22" t="s">
        <v>212</v>
      </c>
      <c r="Q74" s="21" t="s">
        <v>193</v>
      </c>
    </row>
    <row r="75" spans="1:19" ht="48" x14ac:dyDescent="0.2">
      <c r="A75" s="1">
        <v>137185</v>
      </c>
      <c r="B75" s="2">
        <v>43758.774305555547</v>
      </c>
      <c r="C75" s="28" t="s">
        <v>104</v>
      </c>
      <c r="D75" s="28" t="s">
        <v>188</v>
      </c>
      <c r="E75" s="28" t="s">
        <v>188</v>
      </c>
      <c r="F75" s="28" t="s">
        <v>639</v>
      </c>
      <c r="G75" s="28" t="s">
        <v>664</v>
      </c>
      <c r="H75" s="28"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because of disconnected dialogue and needs to clarify question</v>
      </c>
      <c r="I75" s="28"/>
      <c r="J75" s="28"/>
      <c r="K75" s="5" t="str">
        <f>getIntent(Table24[[#This Row],[action]],Table24[[#This Row],[product family]],Table24[[#This Row],[detailed product]],Table24[[#This Row],[action attribute]])</f>
        <v>About something unknown</v>
      </c>
      <c r="L75" s="18" t="s">
        <v>188</v>
      </c>
      <c r="M75" s="18" t="s">
        <v>188</v>
      </c>
      <c r="N75" s="18" t="s">
        <v>188</v>
      </c>
      <c r="O75" s="18" t="s">
        <v>188</v>
      </c>
      <c r="P75" s="18" t="s">
        <v>188</v>
      </c>
      <c r="Q75" s="18" t="s">
        <v>188</v>
      </c>
      <c r="R75" t="s">
        <v>553</v>
      </c>
    </row>
    <row r="76" spans="1:19" ht="48" x14ac:dyDescent="0.2">
      <c r="A76" s="1">
        <v>136379</v>
      </c>
      <c r="B76" s="2">
        <v>43758.703530092593</v>
      </c>
      <c r="C76" s="32" t="s">
        <v>31</v>
      </c>
      <c r="D76" s="32" t="s">
        <v>166</v>
      </c>
      <c r="E76" s="32" t="s">
        <v>642</v>
      </c>
      <c r="F76" s="32" t="s">
        <v>673</v>
      </c>
      <c r="G76" s="32" t="s">
        <v>646</v>
      </c>
      <c r="H76"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76" s="32"/>
      <c r="J76" s="32"/>
      <c r="K76" s="5" t="str">
        <f>getIntent(Table24[[#This Row],[action]],Table24[[#This Row],[product family]],Table24[[#This Row],[detailed product]],Table24[[#This Row],[action attribute]])</f>
        <v>Client needs information about something unknown</v>
      </c>
      <c r="L76" t="s">
        <v>188</v>
      </c>
      <c r="M76" s="22"/>
      <c r="N76" s="22" t="s">
        <v>160</v>
      </c>
      <c r="P76" t="s">
        <v>212</v>
      </c>
      <c r="S76" t="s">
        <v>538</v>
      </c>
    </row>
    <row r="77" spans="1:19" ht="32" x14ac:dyDescent="0.2">
      <c r="A77" s="1">
        <v>137604</v>
      </c>
      <c r="B77" s="2">
        <v>43758.666562500002</v>
      </c>
      <c r="C77" s="35" t="s">
        <v>64</v>
      </c>
      <c r="D77" s="35" t="s">
        <v>188</v>
      </c>
      <c r="E77" s="35" t="s">
        <v>643</v>
      </c>
      <c r="F77" s="35" t="s">
        <v>188</v>
      </c>
      <c r="G77" s="35" t="s">
        <v>646</v>
      </c>
      <c r="H77"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face identification and needs instructions</v>
      </c>
      <c r="I77" s="35"/>
      <c r="J77" s="35"/>
      <c r="K77" s="5" t="str">
        <f>getIntent(Table24[[#This Row],[action]],Table24[[#This Row],[product family]],Table24[[#This Row],[detailed product]],Table24[[#This Row],[action attribute]])</f>
        <v>About something unknown</v>
      </c>
      <c r="L77" s="18" t="s">
        <v>188</v>
      </c>
      <c r="M77" s="18"/>
      <c r="N77" s="18"/>
      <c r="O77" s="18"/>
      <c r="P77" s="22" t="s">
        <v>188</v>
      </c>
      <c r="Q77" s="18"/>
      <c r="S77" t="s">
        <v>559</v>
      </c>
    </row>
    <row r="78" spans="1:19" ht="32" x14ac:dyDescent="0.2">
      <c r="A78" s="1">
        <v>158814</v>
      </c>
      <c r="B78" s="2">
        <v>43757.900868055563</v>
      </c>
      <c r="C78" s="24" t="s">
        <v>78</v>
      </c>
      <c r="D78" s="24" t="s">
        <v>670</v>
      </c>
      <c r="E78" s="24" t="s">
        <v>188</v>
      </c>
      <c r="F78" s="24" t="s">
        <v>188</v>
      </c>
      <c r="G78" s="24" t="s">
        <v>671</v>
      </c>
      <c r="H78"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78" s="24"/>
      <c r="J78" s="24"/>
      <c r="K78" s="5" t="str">
        <f>getIntent(Table24[[#This Row],[action]],Table24[[#This Row],[product family]],Table24[[#This Row],[detailed product]],Table24[[#This Row],[action attribute]])</f>
        <v>About something unknown</v>
      </c>
      <c r="L78" t="s">
        <v>188</v>
      </c>
      <c r="M78" t="s">
        <v>188</v>
      </c>
      <c r="N78" t="s">
        <v>188</v>
      </c>
      <c r="O78" t="s">
        <v>188</v>
      </c>
      <c r="P78" t="s">
        <v>188</v>
      </c>
      <c r="Q78" t="s">
        <v>188</v>
      </c>
      <c r="R78" t="s">
        <v>530</v>
      </c>
    </row>
    <row r="79" spans="1:19" ht="64" x14ac:dyDescent="0.2">
      <c r="A79" s="1">
        <v>158767</v>
      </c>
      <c r="B79" s="2">
        <v>43757.552071759259</v>
      </c>
      <c r="C79" s="31" t="s">
        <v>13</v>
      </c>
      <c r="D79" s="31" t="s">
        <v>616</v>
      </c>
      <c r="E79" s="31" t="s">
        <v>629</v>
      </c>
      <c r="F79" s="31" t="s">
        <v>242</v>
      </c>
      <c r="G79" s="31" t="s">
        <v>646</v>
      </c>
      <c r="H79"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id in maiden name account in married name credentials because of update and needs instructions</v>
      </c>
      <c r="I79" s="31"/>
      <c r="J79" s="31"/>
      <c r="K79" s="5" t="str">
        <f>getIntent(Table24[[#This Row],[action]],Table24[[#This Row],[product family]],Table24[[#This Row],[detailed product]],Table24[[#This Row],[action attribute]])</f>
        <v>Client wants to check an unspecified account</v>
      </c>
      <c r="L79" s="17" t="s">
        <v>140</v>
      </c>
      <c r="M79" s="17"/>
      <c r="N79" s="17"/>
      <c r="O79" s="17"/>
      <c r="P79" s="23" t="s">
        <v>192</v>
      </c>
      <c r="Q79" s="17"/>
      <c r="S79" t="s">
        <v>540</v>
      </c>
    </row>
    <row r="80" spans="1:19" ht="32" x14ac:dyDescent="0.2">
      <c r="A80" s="1">
        <v>158709</v>
      </c>
      <c r="B80" s="2">
        <v>43757.403090277781</v>
      </c>
      <c r="C80" s="29" t="s">
        <v>52</v>
      </c>
      <c r="D80" s="29" t="s">
        <v>436</v>
      </c>
      <c r="E80" s="29" t="s">
        <v>659</v>
      </c>
      <c r="F80" s="29" t="s">
        <v>188</v>
      </c>
      <c r="G80" s="29" t="s">
        <v>664</v>
      </c>
      <c r="H80"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transfer payment and needs to clarify question</v>
      </c>
      <c r="I80" s="29"/>
      <c r="J80" s="29"/>
      <c r="K80" s="5" t="str">
        <f>getIntent(Table24[[#This Row],[action]],Table24[[#This Row],[product family]],Table24[[#This Row],[detailed product]],Table24[[#This Row],[action attribute]])</f>
        <v>Client wants to check the not retrieved for an unspecified payment</v>
      </c>
      <c r="L80" s="16" t="s">
        <v>182</v>
      </c>
      <c r="M80" s="16"/>
      <c r="N80" s="16"/>
      <c r="O80" s="16"/>
      <c r="P80" s="16" t="s">
        <v>192</v>
      </c>
      <c r="Q80" s="16" t="s">
        <v>208</v>
      </c>
    </row>
    <row r="81" spans="1:19" ht="32" x14ac:dyDescent="0.2">
      <c r="A81" s="1">
        <v>138102</v>
      </c>
      <c r="B81" s="2">
        <v>43756.765775462962</v>
      </c>
      <c r="C81" s="36" t="s">
        <v>82</v>
      </c>
      <c r="D81" s="36" t="s">
        <v>436</v>
      </c>
      <c r="E81" s="36" t="s">
        <v>617</v>
      </c>
      <c r="F81" s="36" t="s">
        <v>188</v>
      </c>
      <c r="G81" s="36" t="s">
        <v>666</v>
      </c>
      <c r="H81"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process time payment and needs information</v>
      </c>
      <c r="I81" s="36"/>
      <c r="J81" s="36"/>
      <c r="K81" s="5" t="str">
        <f>getIntent(Table24[[#This Row],[action]],Table24[[#This Row],[product family]],Table24[[#This Row],[detailed product]],Table24[[#This Row],[action attribute]])</f>
        <v>Client needs information about the time for an unspecified payment</v>
      </c>
      <c r="L81" s="16" t="s">
        <v>182</v>
      </c>
      <c r="M81" s="16"/>
      <c r="N81" s="16"/>
      <c r="O81" s="16"/>
      <c r="P81" s="16" t="s">
        <v>212</v>
      </c>
      <c r="Q81" s="16" t="s">
        <v>541</v>
      </c>
    </row>
    <row r="82" spans="1:19" ht="32" x14ac:dyDescent="0.2">
      <c r="A82" s="1">
        <v>138602</v>
      </c>
      <c r="B82" s="2">
        <v>43756.594988425917</v>
      </c>
      <c r="C82" s="25" t="s">
        <v>73</v>
      </c>
      <c r="D82" s="25" t="s">
        <v>188</v>
      </c>
      <c r="E82" s="25" t="s">
        <v>188</v>
      </c>
      <c r="F82" s="25" t="s">
        <v>188</v>
      </c>
      <c r="G82" s="25" t="s">
        <v>665</v>
      </c>
      <c r="H82"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82" s="25"/>
      <c r="J82" s="25"/>
      <c r="K82" s="5" t="str">
        <f>getIntent(Table24[[#This Row],[action]],Table24[[#This Row],[product family]],Table24[[#This Row],[detailed product]],Table24[[#This Row],[action attribute]])</f>
        <v>About something unknown</v>
      </c>
      <c r="L82" s="18" t="s">
        <v>188</v>
      </c>
      <c r="M82" s="18" t="s">
        <v>188</v>
      </c>
      <c r="N82" s="18" t="s">
        <v>188</v>
      </c>
      <c r="O82" s="18" t="s">
        <v>188</v>
      </c>
      <c r="P82" s="18" t="s">
        <v>188</v>
      </c>
      <c r="Q82" s="18" t="s">
        <v>188</v>
      </c>
      <c r="R82" t="s">
        <v>536</v>
      </c>
    </row>
    <row r="83" spans="1:19" ht="48" x14ac:dyDescent="0.2">
      <c r="A83" s="1">
        <v>139949</v>
      </c>
      <c r="B83" s="2">
        <v>43756.324293981481</v>
      </c>
      <c r="C83" s="35" t="s">
        <v>76</v>
      </c>
      <c r="D83" s="35" t="s">
        <v>616</v>
      </c>
      <c r="E83" s="35" t="s">
        <v>628</v>
      </c>
      <c r="F83" s="35" t="s">
        <v>242</v>
      </c>
      <c r="G83" s="35" t="s">
        <v>646</v>
      </c>
      <c r="H83"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wrong credentials credentials because of update and needs instructions</v>
      </c>
      <c r="I83" s="35"/>
      <c r="J83" s="35"/>
      <c r="K83" s="5" t="str">
        <f>getIntent(Table24[[#This Row],[action]],Table24[[#This Row],[product family]],Table24[[#This Row],[detailed product]],Table24[[#This Row],[action attribute]])</f>
        <v>Client wants to check the not approved for something unknown</v>
      </c>
      <c r="L83" s="18" t="s">
        <v>188</v>
      </c>
      <c r="M83" s="18"/>
      <c r="N83" s="18" t="s">
        <v>210</v>
      </c>
      <c r="O83" s="18"/>
      <c r="P83" s="18" t="s">
        <v>192</v>
      </c>
      <c r="Q83" s="18" t="s">
        <v>193</v>
      </c>
    </row>
    <row r="84" spans="1:19" ht="32" x14ac:dyDescent="0.2">
      <c r="A84" s="1">
        <v>139152</v>
      </c>
      <c r="B84" s="2">
        <v>43756.161759259259</v>
      </c>
      <c r="C84" s="24" t="s">
        <v>5</v>
      </c>
      <c r="D84" s="24" t="s">
        <v>670</v>
      </c>
      <c r="E84" s="24" t="s">
        <v>188</v>
      </c>
      <c r="F84" s="24" t="s">
        <v>188</v>
      </c>
      <c r="G84" s="24" t="s">
        <v>671</v>
      </c>
      <c r="H84"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84" s="24"/>
      <c r="J84" s="24"/>
      <c r="K84" s="5" t="str">
        <f>getIntent(Table24[[#This Row],[action]],Table24[[#This Row],[product family]],Table24[[#This Row],[detailed product]],Table24[[#This Row],[action attribute]])</f>
        <v>About something unknown</v>
      </c>
      <c r="L84" t="s">
        <v>188</v>
      </c>
      <c r="M84" t="s">
        <v>188</v>
      </c>
      <c r="N84" t="s">
        <v>188</v>
      </c>
      <c r="O84" t="s">
        <v>188</v>
      </c>
      <c r="P84" t="s">
        <v>188</v>
      </c>
      <c r="Q84" t="s">
        <v>188</v>
      </c>
      <c r="R84" t="s">
        <v>530</v>
      </c>
    </row>
    <row r="85" spans="1:19" ht="48" x14ac:dyDescent="0.2">
      <c r="A85" s="1">
        <v>139331</v>
      </c>
      <c r="B85" s="2">
        <v>43756.021550925929</v>
      </c>
      <c r="C85" s="36" t="s">
        <v>116</v>
      </c>
      <c r="D85" s="36" t="s">
        <v>436</v>
      </c>
      <c r="E85" s="36" t="s">
        <v>618</v>
      </c>
      <c r="F85" s="36" t="s">
        <v>672</v>
      </c>
      <c r="G85" s="36" t="s">
        <v>502</v>
      </c>
      <c r="H85"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85" s="36"/>
      <c r="J85" s="36"/>
      <c r="K85" s="5" t="str">
        <f>getIntent(Table24[[#This Row],[action]],Table24[[#This Row],[product family]],Table24[[#This Row],[detailed product]],Table24[[#This Row],[action attribute]])</f>
        <v>Client wants to check the not retrieved for an unspecified payment</v>
      </c>
      <c r="L85" t="s">
        <v>182</v>
      </c>
      <c r="P85" t="s">
        <v>192</v>
      </c>
      <c r="Q85" t="s">
        <v>208</v>
      </c>
    </row>
    <row r="86" spans="1:19" ht="16" x14ac:dyDescent="0.2">
      <c r="A86" s="1">
        <v>153994</v>
      </c>
      <c r="B86" s="2">
        <v>43755.731793981482</v>
      </c>
      <c r="C86" s="26" t="s">
        <v>34</v>
      </c>
      <c r="D86" s="26" t="s">
        <v>188</v>
      </c>
      <c r="E86" s="26" t="s">
        <v>188</v>
      </c>
      <c r="F86" s="26" t="s">
        <v>188</v>
      </c>
      <c r="G86" s="26" t="s">
        <v>667</v>
      </c>
      <c r="H86"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86" s="26"/>
      <c r="J86" s="26"/>
      <c r="K86" s="5" t="str">
        <f>getIntent(Table24[[#This Row],[action]],Table24[[#This Row],[product family]],Table24[[#This Row],[detailed product]],Table24[[#This Row],[action attribute]])</f>
        <v>About something unknown</v>
      </c>
      <c r="L86" s="17" t="s">
        <v>188</v>
      </c>
      <c r="M86" s="17" t="s">
        <v>188</v>
      </c>
      <c r="N86" s="17" t="s">
        <v>188</v>
      </c>
      <c r="O86" s="17" t="s">
        <v>188</v>
      </c>
      <c r="P86" s="17" t="s">
        <v>188</v>
      </c>
      <c r="Q86" s="17" t="s">
        <v>188</v>
      </c>
    </row>
    <row r="87" spans="1:19" ht="32" x14ac:dyDescent="0.2">
      <c r="A87" s="1">
        <v>153172</v>
      </c>
      <c r="B87" s="2">
        <v>43755.650300925918</v>
      </c>
      <c r="C87" s="24" t="s">
        <v>63</v>
      </c>
      <c r="D87" s="24" t="s">
        <v>670</v>
      </c>
      <c r="E87" s="24" t="s">
        <v>188</v>
      </c>
      <c r="F87" s="24" t="s">
        <v>188</v>
      </c>
      <c r="G87" s="24" t="s">
        <v>671</v>
      </c>
      <c r="H87"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87" s="24"/>
      <c r="J87" s="24"/>
      <c r="K87" s="5" t="str">
        <f>getIntent(Table24[[#This Row],[action]],Table24[[#This Row],[product family]],Table24[[#This Row],[detailed product]],Table24[[#This Row],[action attribute]])</f>
        <v>About something unknown</v>
      </c>
      <c r="L87" s="18" t="s">
        <v>188</v>
      </c>
      <c r="M87" s="18" t="s">
        <v>188</v>
      </c>
      <c r="N87" s="18" t="s">
        <v>188</v>
      </c>
      <c r="O87" s="18" t="s">
        <v>188</v>
      </c>
      <c r="P87" s="18" t="s">
        <v>188</v>
      </c>
      <c r="Q87" s="18" t="s">
        <v>188</v>
      </c>
      <c r="R87" t="s">
        <v>530</v>
      </c>
    </row>
    <row r="88" spans="1:19" ht="64" x14ac:dyDescent="0.2">
      <c r="A88" s="1">
        <v>153296</v>
      </c>
      <c r="B88" s="2">
        <v>43755.565266203703</v>
      </c>
      <c r="C88" s="26" t="s">
        <v>72</v>
      </c>
      <c r="D88" s="26" t="s">
        <v>166</v>
      </c>
      <c r="E88" s="26" t="s">
        <v>634</v>
      </c>
      <c r="F88" s="26" t="s">
        <v>634</v>
      </c>
      <c r="G88" s="26" t="s">
        <v>664</v>
      </c>
      <c r="H88"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missing account number account because of missing account number and needs to clarify question</v>
      </c>
      <c r="I88" s="26"/>
      <c r="J88" s="26"/>
      <c r="K88" s="5" t="str">
        <f>getIntent(Table24[[#This Row],[action]],Table24[[#This Row],[product family]],Table24[[#This Row],[detailed product]],Table24[[#This Row],[action attribute]])</f>
        <v>About something unknown</v>
      </c>
      <c r="L88" s="22" t="s">
        <v>188</v>
      </c>
      <c r="P88" s="22" t="s">
        <v>188</v>
      </c>
    </row>
    <row r="89" spans="1:19" ht="32" x14ac:dyDescent="0.2">
      <c r="A89" s="1">
        <v>155013</v>
      </c>
      <c r="B89" s="2">
        <v>43755.450532407413</v>
      </c>
      <c r="C89" s="24" t="s">
        <v>5</v>
      </c>
      <c r="D89" s="24" t="s">
        <v>670</v>
      </c>
      <c r="E89" s="24" t="s">
        <v>188</v>
      </c>
      <c r="F89" s="24" t="s">
        <v>188</v>
      </c>
      <c r="G89" s="24" t="s">
        <v>671</v>
      </c>
      <c r="H89"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89" s="24"/>
      <c r="J89" s="24"/>
      <c r="K89" s="5" t="str">
        <f>getIntent(Table24[[#This Row],[action]],Table24[[#This Row],[product family]],Table24[[#This Row],[detailed product]],Table24[[#This Row],[action attribute]])</f>
        <v>About something unknown</v>
      </c>
      <c r="L89" s="18" t="s">
        <v>188</v>
      </c>
      <c r="M89" s="18" t="s">
        <v>188</v>
      </c>
      <c r="N89" s="18" t="s">
        <v>188</v>
      </c>
      <c r="O89" s="18" t="s">
        <v>188</v>
      </c>
      <c r="P89" s="18" t="s">
        <v>188</v>
      </c>
      <c r="Q89" s="18" t="s">
        <v>188</v>
      </c>
      <c r="R89" t="s">
        <v>530</v>
      </c>
    </row>
    <row r="90" spans="1:19" ht="32" x14ac:dyDescent="0.2">
      <c r="A90" s="1">
        <v>152753</v>
      </c>
      <c r="B90" s="2">
        <v>43755.263773148137</v>
      </c>
      <c r="C90" s="24" t="s">
        <v>30</v>
      </c>
      <c r="D90" s="24" t="s">
        <v>670</v>
      </c>
      <c r="E90" s="24" t="s">
        <v>188</v>
      </c>
      <c r="F90" s="24" t="s">
        <v>188</v>
      </c>
      <c r="G90" s="24" t="s">
        <v>671</v>
      </c>
      <c r="H90"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90" s="24"/>
      <c r="J90" s="24"/>
      <c r="K90" s="5" t="str">
        <f>getIntent(Table24[[#This Row],[action]],Table24[[#This Row],[product family]],Table24[[#This Row],[detailed product]],Table24[[#This Row],[action attribute]])</f>
        <v>About something unknown</v>
      </c>
      <c r="L90" s="18" t="s">
        <v>188</v>
      </c>
      <c r="M90" s="18" t="s">
        <v>188</v>
      </c>
      <c r="N90" s="18" t="s">
        <v>188</v>
      </c>
      <c r="O90" s="18" t="s">
        <v>188</v>
      </c>
      <c r="P90" s="18" t="s">
        <v>188</v>
      </c>
      <c r="Q90" s="18" t="s">
        <v>188</v>
      </c>
      <c r="R90" t="s">
        <v>530</v>
      </c>
    </row>
    <row r="91" spans="1:19" ht="32" x14ac:dyDescent="0.2">
      <c r="A91" s="1">
        <v>153167</v>
      </c>
      <c r="B91" s="2">
        <v>43755.249756944453</v>
      </c>
      <c r="C91" s="26" t="s">
        <v>65</v>
      </c>
      <c r="D91" s="26" t="s">
        <v>188</v>
      </c>
      <c r="E91" s="26" t="s">
        <v>662</v>
      </c>
      <c r="F91" s="26" t="s">
        <v>188</v>
      </c>
      <c r="G91" s="26" t="s">
        <v>664</v>
      </c>
      <c r="H91"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has verification issues and needs to clarify question</v>
      </c>
      <c r="I91" s="26"/>
      <c r="J91" s="26"/>
      <c r="K91" s="5" t="str">
        <f>getIntent(Table24[[#This Row],[action]],Table24[[#This Row],[product family]],Table24[[#This Row],[detailed product]],Table24[[#This Row],[action attribute]])</f>
        <v>About something unknown</v>
      </c>
      <c r="L91" t="s">
        <v>188</v>
      </c>
      <c r="P91" s="22" t="s">
        <v>188</v>
      </c>
      <c r="S91" t="s">
        <v>560</v>
      </c>
    </row>
    <row r="92" spans="1:19" ht="48" x14ac:dyDescent="0.2">
      <c r="A92" s="1">
        <v>148755</v>
      </c>
      <c r="B92" s="2">
        <v>43754.899988425917</v>
      </c>
      <c r="C92" s="32" t="s">
        <v>101</v>
      </c>
      <c r="D92" s="32" t="s">
        <v>166</v>
      </c>
      <c r="E92" s="32" t="s">
        <v>642</v>
      </c>
      <c r="F92" s="32" t="s">
        <v>673</v>
      </c>
      <c r="G92" s="32" t="s">
        <v>646</v>
      </c>
      <c r="H92"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92" s="32"/>
      <c r="J92" s="32"/>
      <c r="K92" s="5" t="str">
        <f>getIntent(Table24[[#This Row],[action]],Table24[[#This Row],[product family]],Table24[[#This Row],[detailed product]],Table24[[#This Row],[action attribute]])</f>
        <v>Client needs information about something unknown</v>
      </c>
      <c r="L92" t="s">
        <v>188</v>
      </c>
      <c r="M92" s="22"/>
      <c r="N92" s="22" t="s">
        <v>160</v>
      </c>
      <c r="P92" t="s">
        <v>212</v>
      </c>
      <c r="S92" t="s">
        <v>538</v>
      </c>
    </row>
    <row r="93" spans="1:19" ht="16" x14ac:dyDescent="0.2">
      <c r="A93" s="1">
        <v>149655</v>
      </c>
      <c r="B93" s="2">
        <v>43754.480810185189</v>
      </c>
      <c r="C93" s="27" t="s">
        <v>43</v>
      </c>
      <c r="D93" s="27" t="s">
        <v>188</v>
      </c>
      <c r="E93" s="27" t="s">
        <v>188</v>
      </c>
      <c r="F93" s="27" t="s">
        <v>188</v>
      </c>
      <c r="G93" s="27" t="s">
        <v>664</v>
      </c>
      <c r="H93"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93" s="27"/>
      <c r="J93" s="27"/>
      <c r="K93" s="5" t="str">
        <f>getIntent(Table24[[#This Row],[action]],Table24[[#This Row],[product family]],Table24[[#This Row],[detailed product]],Table24[[#This Row],[action attribute]])</f>
        <v>About something unknown</v>
      </c>
      <c r="L93" s="21" t="s">
        <v>188</v>
      </c>
      <c r="M93" s="18"/>
      <c r="N93" s="18"/>
      <c r="O93" s="18"/>
      <c r="P93" s="22" t="s">
        <v>188</v>
      </c>
      <c r="Q93" s="18"/>
    </row>
    <row r="94" spans="1:19" ht="32" x14ac:dyDescent="0.2">
      <c r="A94" s="1">
        <v>147980</v>
      </c>
      <c r="B94" s="2">
        <v>43754.386435185188</v>
      </c>
      <c r="C94" s="33" t="s">
        <v>91</v>
      </c>
      <c r="D94" s="33" t="s">
        <v>616</v>
      </c>
      <c r="E94" s="33" t="s">
        <v>188</v>
      </c>
      <c r="F94" s="33" t="s">
        <v>242</v>
      </c>
      <c r="G94" s="33" t="s">
        <v>646</v>
      </c>
      <c r="H94"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credentials because of update and needs instructions</v>
      </c>
      <c r="I94" s="33"/>
      <c r="J94" s="33"/>
      <c r="K94" s="5" t="str">
        <f>getIntent(Table24[[#This Row],[action]],Table24[[#This Row],[product family]],Table24[[#This Row],[detailed product]],Table24[[#This Row],[action attribute]])</f>
        <v>Client wants to change something unknown</v>
      </c>
      <c r="L94" t="s">
        <v>188</v>
      </c>
      <c r="N94" t="s">
        <v>210</v>
      </c>
      <c r="P94" t="s">
        <v>174</v>
      </c>
    </row>
    <row r="95" spans="1:19" ht="48" x14ac:dyDescent="0.2">
      <c r="A95" s="1">
        <v>148677</v>
      </c>
      <c r="B95" s="2">
        <v>43754.30841435185</v>
      </c>
      <c r="C95" s="32" t="s">
        <v>38</v>
      </c>
      <c r="D95" s="32" t="s">
        <v>166</v>
      </c>
      <c r="E95" s="32" t="s">
        <v>642</v>
      </c>
      <c r="F95" s="32" t="s">
        <v>673</v>
      </c>
      <c r="G95" s="32" t="s">
        <v>646</v>
      </c>
      <c r="H95"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95" s="32"/>
      <c r="J95" s="32"/>
      <c r="K95" s="5" t="str">
        <f>getIntent(Table24[[#This Row],[action]],Table24[[#This Row],[product family]],Table24[[#This Row],[detailed product]],Table24[[#This Row],[action attribute]])</f>
        <v>Client needs information about something unknown</v>
      </c>
      <c r="L95" s="17" t="s">
        <v>188</v>
      </c>
      <c r="M95" s="23"/>
      <c r="N95" s="22" t="s">
        <v>160</v>
      </c>
      <c r="O95" s="17"/>
      <c r="P95" s="17" t="s">
        <v>212</v>
      </c>
      <c r="Q95" s="17"/>
      <c r="S95" t="s">
        <v>538</v>
      </c>
    </row>
    <row r="96" spans="1:19" ht="48" x14ac:dyDescent="0.2">
      <c r="A96" s="1">
        <v>148316</v>
      </c>
      <c r="B96" s="2">
        <v>43754.149456018517</v>
      </c>
      <c r="C96" s="30" t="s">
        <v>41</v>
      </c>
      <c r="D96" s="30" t="s">
        <v>166</v>
      </c>
      <c r="E96" s="30" t="s">
        <v>675</v>
      </c>
      <c r="F96" s="30" t="s">
        <v>672</v>
      </c>
      <c r="G96" s="30" t="s">
        <v>502</v>
      </c>
      <c r="H96"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96" s="30"/>
      <c r="J96" s="30"/>
      <c r="K96" s="5" t="str">
        <f>getIntent(Table24[[#This Row],[action]],Table24[[#This Row],[product family]],Table24[[#This Row],[detailed product]],Table24[[#This Row],[action attribute]])</f>
        <v>Client needs information about the not approved for an unspecified account</v>
      </c>
      <c r="L96" s="17" t="s">
        <v>140</v>
      </c>
      <c r="M96" s="17"/>
      <c r="N96" s="17"/>
      <c r="O96" s="17"/>
      <c r="P96" s="17" t="s">
        <v>212</v>
      </c>
      <c r="Q96" s="23" t="s">
        <v>193</v>
      </c>
    </row>
    <row r="97" spans="1:19" ht="32" x14ac:dyDescent="0.2">
      <c r="A97" s="1">
        <v>188593</v>
      </c>
      <c r="B97" s="2">
        <v>43753.672129629631</v>
      </c>
      <c r="C97" s="25" t="s">
        <v>8</v>
      </c>
      <c r="D97" s="25" t="s">
        <v>188</v>
      </c>
      <c r="E97" s="25" t="s">
        <v>188</v>
      </c>
      <c r="F97" s="25" t="s">
        <v>188</v>
      </c>
      <c r="G97" s="25" t="s">
        <v>665</v>
      </c>
      <c r="H97"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97" s="25"/>
      <c r="J97" s="25"/>
      <c r="K97" s="5" t="str">
        <f>getIntent(Table24[[#This Row],[action]],Table24[[#This Row],[product family]],Table24[[#This Row],[detailed product]],Table24[[#This Row],[action attribute]])</f>
        <v>About something unknown</v>
      </c>
      <c r="L97" s="18" t="s">
        <v>188</v>
      </c>
      <c r="M97" s="18" t="s">
        <v>188</v>
      </c>
      <c r="N97" s="18" t="s">
        <v>188</v>
      </c>
      <c r="O97" s="18" t="s">
        <v>188</v>
      </c>
      <c r="P97" s="18" t="s">
        <v>188</v>
      </c>
      <c r="Q97" s="18" t="s">
        <v>188</v>
      </c>
      <c r="R97" t="s">
        <v>536</v>
      </c>
    </row>
    <row r="98" spans="1:19" ht="32" x14ac:dyDescent="0.2">
      <c r="A98" s="1">
        <v>187610</v>
      </c>
      <c r="B98" s="2">
        <v>43753.298252314817</v>
      </c>
      <c r="C98" s="24" t="s">
        <v>30</v>
      </c>
      <c r="D98" s="24" t="s">
        <v>670</v>
      </c>
      <c r="E98" s="24" t="s">
        <v>188</v>
      </c>
      <c r="F98" s="24" t="s">
        <v>188</v>
      </c>
      <c r="G98" s="24" t="s">
        <v>671</v>
      </c>
      <c r="H98"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98" s="24"/>
      <c r="J98" s="24"/>
      <c r="K98" s="5" t="str">
        <f>getIntent(Table24[[#This Row],[action]],Table24[[#This Row],[product family]],Table24[[#This Row],[detailed product]],Table24[[#This Row],[action attribute]])</f>
        <v>About something unknown</v>
      </c>
      <c r="L98" t="s">
        <v>188</v>
      </c>
      <c r="M98" t="s">
        <v>188</v>
      </c>
      <c r="N98" t="s">
        <v>188</v>
      </c>
      <c r="O98" t="s">
        <v>188</v>
      </c>
      <c r="P98" t="s">
        <v>188</v>
      </c>
      <c r="Q98" t="s">
        <v>188</v>
      </c>
      <c r="R98" t="s">
        <v>530</v>
      </c>
    </row>
    <row r="99" spans="1:19" ht="48" x14ac:dyDescent="0.2">
      <c r="A99" s="1">
        <v>187556</v>
      </c>
      <c r="B99" s="2">
        <v>43753.233726851853</v>
      </c>
      <c r="C99" s="30" t="s">
        <v>24</v>
      </c>
      <c r="D99" s="30" t="s">
        <v>166</v>
      </c>
      <c r="E99" s="30" t="s">
        <v>675</v>
      </c>
      <c r="F99" s="30" t="s">
        <v>672</v>
      </c>
      <c r="G99" s="30" t="s">
        <v>502</v>
      </c>
      <c r="H99"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99" s="30"/>
      <c r="J99" s="30"/>
      <c r="K99" s="5" t="str">
        <f>getIntent(Table24[[#This Row],[action]],Table24[[#This Row],[product family]],Table24[[#This Row],[detailed product]],Table24[[#This Row],[action attribute]])</f>
        <v>Client needs information about the not approved for an unspecified account</v>
      </c>
      <c r="L99" t="s">
        <v>140</v>
      </c>
      <c r="P99" s="22" t="s">
        <v>212</v>
      </c>
      <c r="Q99" s="22" t="s">
        <v>193</v>
      </c>
    </row>
    <row r="100" spans="1:19" ht="64" x14ac:dyDescent="0.2">
      <c r="A100" s="1">
        <v>186661</v>
      </c>
      <c r="B100" s="2">
        <v>43753.160474537042</v>
      </c>
      <c r="C100" s="31" t="s">
        <v>56</v>
      </c>
      <c r="D100" s="31" t="s">
        <v>616</v>
      </c>
      <c r="E100" s="31" t="s">
        <v>669</v>
      </c>
      <c r="F100" s="31" t="s">
        <v>619</v>
      </c>
      <c r="G100" s="31" t="s">
        <v>646</v>
      </c>
      <c r="H100"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100" s="31"/>
      <c r="J100" s="31"/>
      <c r="K100" s="5" t="str">
        <f>getIntent(Table24[[#This Row],[action]],Table24[[#This Row],[product family]],Table24[[#This Row],[detailed product]],Table24[[#This Row],[action attribute]])</f>
        <v>Client needs information about the id means for something unknown</v>
      </c>
      <c r="L100" s="18" t="s">
        <v>188</v>
      </c>
      <c r="M100" s="18"/>
      <c r="N100" s="18"/>
      <c r="O100" s="18"/>
      <c r="P100" s="18" t="s">
        <v>212</v>
      </c>
      <c r="Q100" s="18" t="s">
        <v>548</v>
      </c>
    </row>
    <row r="101" spans="1:19" ht="16" x14ac:dyDescent="0.2">
      <c r="A101" s="1">
        <v>194982</v>
      </c>
      <c r="B101" s="2">
        <v>43752.582303240742</v>
      </c>
      <c r="C101" s="27" t="s">
        <v>122</v>
      </c>
      <c r="D101" s="27" t="s">
        <v>188</v>
      </c>
      <c r="E101" s="27" t="s">
        <v>188</v>
      </c>
      <c r="F101" s="27" t="s">
        <v>188</v>
      </c>
      <c r="G101" s="27" t="s">
        <v>664</v>
      </c>
      <c r="H101"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01" s="27"/>
      <c r="J101" s="27"/>
      <c r="K101" s="5" t="str">
        <f>getIntent(Table24[[#This Row],[action]],Table24[[#This Row],[product family]],Table24[[#This Row],[detailed product]],Table24[[#This Row],[action attribute]])</f>
        <v>About something unknown</v>
      </c>
      <c r="L101" t="s">
        <v>188</v>
      </c>
      <c r="M101" t="s">
        <v>188</v>
      </c>
      <c r="N101" t="s">
        <v>188</v>
      </c>
      <c r="O101" t="s">
        <v>188</v>
      </c>
      <c r="P101" t="s">
        <v>188</v>
      </c>
      <c r="Q101" t="s">
        <v>188</v>
      </c>
      <c r="R101" t="s">
        <v>555</v>
      </c>
    </row>
    <row r="102" spans="1:19" ht="48" x14ac:dyDescent="0.2">
      <c r="A102" s="1">
        <v>195074</v>
      </c>
      <c r="B102" s="2">
        <v>43752.56181712963</v>
      </c>
      <c r="C102" s="33" t="s">
        <v>118</v>
      </c>
      <c r="D102" s="33" t="s">
        <v>616</v>
      </c>
      <c r="E102" s="33" t="s">
        <v>628</v>
      </c>
      <c r="F102" s="33" t="s">
        <v>242</v>
      </c>
      <c r="G102" s="33" t="s">
        <v>646</v>
      </c>
      <c r="H102"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wrong credentials credentials because of update and needs instructions</v>
      </c>
      <c r="I102" s="33"/>
      <c r="J102" s="33"/>
      <c r="K102" s="5" t="str">
        <f>getIntent(Table24[[#This Row],[action]],Table24[[#This Row],[product family]],Table24[[#This Row],[detailed product]],Table24[[#This Row],[action attribute]])</f>
        <v>Client wants to check something unknown</v>
      </c>
      <c r="L102" s="18" t="s">
        <v>188</v>
      </c>
      <c r="M102" s="18"/>
      <c r="N102" s="18" t="s">
        <v>354</v>
      </c>
      <c r="O102" s="18"/>
      <c r="P102" s="18" t="s">
        <v>192</v>
      </c>
      <c r="S102" t="s">
        <v>550</v>
      </c>
    </row>
    <row r="103" spans="1:19" ht="16" x14ac:dyDescent="0.2">
      <c r="A103" s="1">
        <v>195177</v>
      </c>
      <c r="B103" s="2">
        <v>43752.543055555558</v>
      </c>
      <c r="C103" s="27" t="s">
        <v>48</v>
      </c>
      <c r="D103" s="27" t="s">
        <v>188</v>
      </c>
      <c r="E103" s="27" t="s">
        <v>188</v>
      </c>
      <c r="F103" s="27" t="s">
        <v>188</v>
      </c>
      <c r="G103" s="27" t="s">
        <v>664</v>
      </c>
      <c r="H103"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03" s="27"/>
      <c r="J103" s="27"/>
      <c r="K103" s="5" t="str">
        <f>getIntent(Table24[[#This Row],[action]],Table24[[#This Row],[product family]],Table24[[#This Row],[detailed product]],Table24[[#This Row],[action attribute]])</f>
        <v>About something unknown</v>
      </c>
      <c r="L103" s="18" t="s">
        <v>188</v>
      </c>
      <c r="M103" s="18"/>
      <c r="N103" s="18"/>
      <c r="O103" s="18"/>
      <c r="P103" s="21" t="s">
        <v>188</v>
      </c>
      <c r="Q103" s="18"/>
    </row>
    <row r="104" spans="1:19" ht="32" x14ac:dyDescent="0.2">
      <c r="A104" s="1">
        <v>193540</v>
      </c>
      <c r="B104" s="2">
        <v>43752.448333333326</v>
      </c>
      <c r="C104" s="24" t="s">
        <v>5</v>
      </c>
      <c r="D104" s="24" t="s">
        <v>670</v>
      </c>
      <c r="E104" s="24" t="s">
        <v>188</v>
      </c>
      <c r="F104" s="24" t="s">
        <v>188</v>
      </c>
      <c r="G104" s="24" t="s">
        <v>671</v>
      </c>
      <c r="H104"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04" s="24"/>
      <c r="J104" s="24"/>
      <c r="K104" s="5" t="str">
        <f>getIntent(Table24[[#This Row],[action]],Table24[[#This Row],[product family]],Table24[[#This Row],[detailed product]],Table24[[#This Row],[action attribute]])</f>
        <v>About something unknown</v>
      </c>
      <c r="L104" s="17" t="s">
        <v>188</v>
      </c>
      <c r="M104" s="17" t="s">
        <v>188</v>
      </c>
      <c r="N104" s="17" t="s">
        <v>188</v>
      </c>
      <c r="O104" s="17" t="s">
        <v>188</v>
      </c>
      <c r="P104" s="17" t="s">
        <v>188</v>
      </c>
      <c r="Q104" s="17" t="s">
        <v>188</v>
      </c>
      <c r="R104" t="s">
        <v>530</v>
      </c>
    </row>
    <row r="105" spans="1:19" ht="48" x14ac:dyDescent="0.2">
      <c r="A105" s="1">
        <v>194396</v>
      </c>
      <c r="B105" s="2">
        <v>43752.34646990741</v>
      </c>
      <c r="C105" s="31" t="s">
        <v>11</v>
      </c>
      <c r="D105" s="31" t="s">
        <v>616</v>
      </c>
      <c r="E105" s="31" t="s">
        <v>630</v>
      </c>
      <c r="F105" s="31" t="s">
        <v>676</v>
      </c>
      <c r="G105" s="31" t="s">
        <v>646</v>
      </c>
      <c r="H105"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update new id credentials because of renewal and needs instructions</v>
      </c>
      <c r="I105" s="31"/>
      <c r="J105" s="31"/>
      <c r="K105" s="5" t="str">
        <f>getIntent(Table24[[#This Row],[action]],Table24[[#This Row],[product family]],Table24[[#This Row],[detailed product]],Table24[[#This Row],[action attribute]])</f>
        <v>Client wants to replace the driving license for an unspecified account</v>
      </c>
      <c r="L105" s="21" t="s">
        <v>140</v>
      </c>
      <c r="M105" s="18"/>
      <c r="N105" s="18"/>
      <c r="O105" s="18"/>
      <c r="P105" s="18" t="s">
        <v>236</v>
      </c>
      <c r="Q105" t="s">
        <v>539</v>
      </c>
    </row>
    <row r="106" spans="1:19" ht="32" x14ac:dyDescent="0.2">
      <c r="A106" s="1">
        <v>192759</v>
      </c>
      <c r="B106" s="2">
        <v>43752.270219907397</v>
      </c>
      <c r="C106" s="36" t="s">
        <v>42</v>
      </c>
      <c r="D106" s="36" t="s">
        <v>436</v>
      </c>
      <c r="E106" s="36" t="s">
        <v>618</v>
      </c>
      <c r="F106" s="36" t="s">
        <v>672</v>
      </c>
      <c r="G106" s="36" t="s">
        <v>502</v>
      </c>
      <c r="H106"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106" s="36"/>
      <c r="J106" s="36"/>
      <c r="K106" s="5" t="str">
        <f>getIntent(Table24[[#This Row],[action]],Table24[[#This Row],[product family]],Table24[[#This Row],[detailed product]],Table24[[#This Row],[action attribute]])</f>
        <v>Client wants to check the not retrieved for an unspecified payment</v>
      </c>
      <c r="L106" s="18" t="s">
        <v>182</v>
      </c>
      <c r="M106" s="18"/>
      <c r="N106" s="18"/>
      <c r="O106" s="18"/>
      <c r="P106" s="18" t="s">
        <v>192</v>
      </c>
      <c r="Q106" s="18" t="s">
        <v>208</v>
      </c>
    </row>
    <row r="107" spans="1:19" ht="32" x14ac:dyDescent="0.2">
      <c r="A107" s="1">
        <v>193969</v>
      </c>
      <c r="B107" s="2">
        <v>43752.244479166657</v>
      </c>
      <c r="C107" s="26" t="s">
        <v>93</v>
      </c>
      <c r="D107" s="26" t="s">
        <v>436</v>
      </c>
      <c r="E107" s="26" t="s">
        <v>649</v>
      </c>
      <c r="F107" s="26" t="s">
        <v>188</v>
      </c>
      <c r="G107" s="26" t="s">
        <v>646</v>
      </c>
      <c r="H107"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deposit payment and needs instructions</v>
      </c>
      <c r="I107" s="26"/>
      <c r="J107" s="26"/>
      <c r="K107" s="5" t="str">
        <f>getIntent(Table24[[#This Row],[action]],Table24[[#This Row],[product family]],Table24[[#This Row],[detailed product]],Table24[[#This Row],[action attribute]])</f>
        <v>About something unknown</v>
      </c>
      <c r="L107" s="23" t="s">
        <v>188</v>
      </c>
      <c r="M107" s="17"/>
      <c r="N107" s="17"/>
      <c r="O107" s="17"/>
      <c r="P107" s="22" t="s">
        <v>188</v>
      </c>
      <c r="Q107" s="17"/>
      <c r="R107" t="s">
        <v>192</v>
      </c>
    </row>
    <row r="108" spans="1:19" ht="32" x14ac:dyDescent="0.2">
      <c r="A108" s="1">
        <v>194353</v>
      </c>
      <c r="B108" s="2">
        <v>43752.029247685183</v>
      </c>
      <c r="C108" s="24" t="s">
        <v>30</v>
      </c>
      <c r="D108" s="24" t="s">
        <v>670</v>
      </c>
      <c r="E108" s="24" t="s">
        <v>188</v>
      </c>
      <c r="F108" s="24" t="s">
        <v>188</v>
      </c>
      <c r="G108" s="24" t="s">
        <v>671</v>
      </c>
      <c r="H108"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08" s="24"/>
      <c r="J108" s="24"/>
      <c r="K108" s="5" t="str">
        <f>getIntent(Table24[[#This Row],[action]],Table24[[#This Row],[product family]],Table24[[#This Row],[detailed product]],Table24[[#This Row],[action attribute]])</f>
        <v>About something unknown</v>
      </c>
      <c r="L108" s="17" t="s">
        <v>188</v>
      </c>
      <c r="M108" s="17" t="s">
        <v>188</v>
      </c>
      <c r="N108" s="17" t="s">
        <v>188</v>
      </c>
      <c r="O108" s="17" t="s">
        <v>188</v>
      </c>
      <c r="P108" s="17" t="s">
        <v>188</v>
      </c>
      <c r="Q108" s="17" t="s">
        <v>188</v>
      </c>
      <c r="R108" t="s">
        <v>530</v>
      </c>
    </row>
    <row r="109" spans="1:19" ht="32" x14ac:dyDescent="0.2">
      <c r="A109" s="1">
        <v>191027</v>
      </c>
      <c r="B109" s="2">
        <v>43751.902615740742</v>
      </c>
      <c r="C109" s="24" t="s">
        <v>70</v>
      </c>
      <c r="D109" s="24" t="s">
        <v>670</v>
      </c>
      <c r="E109" s="24" t="s">
        <v>188</v>
      </c>
      <c r="F109" s="24" t="s">
        <v>188</v>
      </c>
      <c r="G109" s="24" t="s">
        <v>671</v>
      </c>
      <c r="H109"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09" s="24"/>
      <c r="J109" s="24"/>
      <c r="K109" s="5" t="str">
        <f>getIntent(Table24[[#This Row],[action]],Table24[[#This Row],[product family]],Table24[[#This Row],[detailed product]],Table24[[#This Row],[action attribute]])</f>
        <v>About something unknown</v>
      </c>
      <c r="L109" s="17" t="s">
        <v>188</v>
      </c>
      <c r="M109" s="17" t="s">
        <v>188</v>
      </c>
      <c r="N109" s="17" t="s">
        <v>188</v>
      </c>
      <c r="O109" s="17" t="s">
        <v>188</v>
      </c>
      <c r="P109" s="17" t="s">
        <v>188</v>
      </c>
      <c r="Q109" s="17" t="s">
        <v>188</v>
      </c>
      <c r="R109" t="s">
        <v>530</v>
      </c>
    </row>
    <row r="110" spans="1:19" ht="32" x14ac:dyDescent="0.2">
      <c r="A110" s="1">
        <v>190465</v>
      </c>
      <c r="B110" s="2">
        <v>43750.721782407411</v>
      </c>
      <c r="C110" s="36" t="s">
        <v>128</v>
      </c>
      <c r="D110" s="36" t="s">
        <v>436</v>
      </c>
      <c r="E110" s="36" t="s">
        <v>618</v>
      </c>
      <c r="F110" s="36" t="s">
        <v>672</v>
      </c>
      <c r="G110" s="36" t="s">
        <v>502</v>
      </c>
      <c r="H110"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110" s="36"/>
      <c r="J110" s="36"/>
      <c r="K110" s="5" t="str">
        <f>getIntent(Table24[[#This Row],[action]],Table24[[#This Row],[product family]],Table24[[#This Row],[detailed product]],Table24[[#This Row],[action attribute]])</f>
        <v>Client wants to check the not retrieved for an unspecified payment</v>
      </c>
      <c r="L110" s="16" t="s">
        <v>182</v>
      </c>
      <c r="M110" s="16"/>
      <c r="N110" s="16"/>
      <c r="O110" s="16"/>
      <c r="P110" s="16" t="s">
        <v>192</v>
      </c>
      <c r="Q110" s="16" t="s">
        <v>208</v>
      </c>
    </row>
    <row r="111" spans="1:19" ht="32" x14ac:dyDescent="0.2">
      <c r="A111" s="1">
        <v>190206</v>
      </c>
      <c r="B111" s="2">
        <v>43750.340046296304</v>
      </c>
      <c r="C111" s="29" t="s">
        <v>106</v>
      </c>
      <c r="D111" s="29" t="s">
        <v>609</v>
      </c>
      <c r="E111" s="29" t="s">
        <v>648</v>
      </c>
      <c r="F111" s="29" t="s">
        <v>188</v>
      </c>
      <c r="G111" s="29" t="s">
        <v>646</v>
      </c>
      <c r="H111"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loan loan and needs instructions</v>
      </c>
      <c r="I111" s="29"/>
      <c r="J111" s="29"/>
      <c r="K111" s="5" t="str">
        <f>getIntent(Table24[[#This Row],[action]],Table24[[#This Row],[product family]],Table24[[#This Row],[detailed product]],Table24[[#This Row],[action attribute]])</f>
        <v>Client needs information about an unspecified loan</v>
      </c>
      <c r="L111" s="18" t="s">
        <v>170</v>
      </c>
      <c r="M111" s="18"/>
      <c r="N111" s="18"/>
      <c r="O111" s="18"/>
      <c r="P111" s="18" t="s">
        <v>212</v>
      </c>
      <c r="Q111" s="18"/>
    </row>
    <row r="112" spans="1:19" ht="32" x14ac:dyDescent="0.2">
      <c r="A112" s="1">
        <v>144153</v>
      </c>
      <c r="B112" s="2">
        <v>43749.197453703702</v>
      </c>
      <c r="C112" s="30" t="s">
        <v>127</v>
      </c>
      <c r="D112" s="42" t="s">
        <v>166</v>
      </c>
      <c r="E112" s="30" t="s">
        <v>188</v>
      </c>
      <c r="F112" s="30" t="s">
        <v>242</v>
      </c>
      <c r="G112" s="30" t="s">
        <v>646</v>
      </c>
      <c r="H112"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account because of update and needs instructions</v>
      </c>
      <c r="I112" s="30"/>
      <c r="J112" s="30"/>
      <c r="K112" s="5" t="str">
        <f>getIntent(Table24[[#This Row],[action]],Table24[[#This Row],[product family]],Table24[[#This Row],[detailed product]],Table24[[#This Row],[action attribute]])</f>
        <v>Client wants to check an unspecified account</v>
      </c>
      <c r="L112" s="18" t="s">
        <v>140</v>
      </c>
      <c r="M112" s="18"/>
      <c r="N112" s="18"/>
      <c r="O112" s="18"/>
      <c r="P112" s="18" t="s">
        <v>192</v>
      </c>
      <c r="Q112" s="18"/>
      <c r="R112" t="s">
        <v>565</v>
      </c>
    </row>
    <row r="113" spans="1:19" ht="32" x14ac:dyDescent="0.2">
      <c r="A113" s="1">
        <v>158086</v>
      </c>
      <c r="B113" s="2">
        <v>43748.909895833327</v>
      </c>
      <c r="C113" s="24" t="s">
        <v>36</v>
      </c>
      <c r="D113" s="24" t="s">
        <v>670</v>
      </c>
      <c r="E113" s="24" t="s">
        <v>188</v>
      </c>
      <c r="F113" s="24" t="s">
        <v>188</v>
      </c>
      <c r="G113" s="24" t="s">
        <v>671</v>
      </c>
      <c r="H113"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13" s="24"/>
      <c r="J113" s="24"/>
      <c r="K113" s="5" t="str">
        <f>getIntent(Table24[[#This Row],[action]],Table24[[#This Row],[product family]],Table24[[#This Row],[detailed product]],Table24[[#This Row],[action attribute]])</f>
        <v>About something unknown</v>
      </c>
      <c r="L113" s="17" t="s">
        <v>188</v>
      </c>
      <c r="M113" s="17" t="s">
        <v>188</v>
      </c>
      <c r="N113" s="17" t="s">
        <v>188</v>
      </c>
      <c r="O113" s="17" t="s">
        <v>188</v>
      </c>
      <c r="P113" s="17" t="s">
        <v>188</v>
      </c>
      <c r="Q113" s="17" t="s">
        <v>188</v>
      </c>
      <c r="R113" t="s">
        <v>530</v>
      </c>
    </row>
    <row r="114" spans="1:19" ht="32" x14ac:dyDescent="0.2">
      <c r="A114" s="1">
        <v>157415</v>
      </c>
      <c r="B114" s="2">
        <v>43748.778831018521</v>
      </c>
      <c r="C114" s="24" t="s">
        <v>19</v>
      </c>
      <c r="D114" s="24" t="s">
        <v>670</v>
      </c>
      <c r="E114" s="24" t="s">
        <v>188</v>
      </c>
      <c r="F114" s="24" t="s">
        <v>188</v>
      </c>
      <c r="G114" s="24" t="s">
        <v>671</v>
      </c>
      <c r="H114"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14" s="24"/>
      <c r="J114" s="24"/>
      <c r="K114" s="5" t="str">
        <f>getIntent(Table24[[#This Row],[action]],Table24[[#This Row],[product family]],Table24[[#This Row],[detailed product]],Table24[[#This Row],[action attribute]])</f>
        <v>About something unknown</v>
      </c>
      <c r="L114" s="18" t="s">
        <v>188</v>
      </c>
      <c r="M114" s="18" t="s">
        <v>188</v>
      </c>
      <c r="N114" s="18" t="s">
        <v>188</v>
      </c>
      <c r="O114" s="18" t="s">
        <v>188</v>
      </c>
      <c r="P114" s="18" t="s">
        <v>188</v>
      </c>
      <c r="Q114" s="18" t="s">
        <v>188</v>
      </c>
      <c r="R114" t="s">
        <v>530</v>
      </c>
    </row>
    <row r="115" spans="1:19" ht="48" x14ac:dyDescent="0.2">
      <c r="A115" s="1">
        <v>155805</v>
      </c>
      <c r="B115" s="2">
        <v>43748.581574074073</v>
      </c>
      <c r="C115" s="30" t="s">
        <v>119</v>
      </c>
      <c r="D115" s="30" t="s">
        <v>166</v>
      </c>
      <c r="E115" s="30" t="s">
        <v>675</v>
      </c>
      <c r="F115" s="30" t="s">
        <v>672</v>
      </c>
      <c r="G115" s="30" t="s">
        <v>502</v>
      </c>
      <c r="H11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115" s="30"/>
      <c r="J115" s="30"/>
      <c r="K115" s="5" t="str">
        <f>getIntent(Table24[[#This Row],[action]],Table24[[#This Row],[product family]],Table24[[#This Row],[detailed product]],Table24[[#This Row],[action attribute]])</f>
        <v>Client needs information about the not approved for an unspecified account</v>
      </c>
      <c r="L115" s="16" t="s">
        <v>140</v>
      </c>
      <c r="M115" s="16"/>
      <c r="N115" s="16"/>
      <c r="O115" s="16"/>
      <c r="P115" s="22" t="s">
        <v>212</v>
      </c>
      <c r="Q115" s="37" t="s">
        <v>193</v>
      </c>
    </row>
    <row r="116" spans="1:19" ht="32" x14ac:dyDescent="0.2">
      <c r="A116" s="1">
        <v>156459</v>
      </c>
      <c r="B116" s="2">
        <v>43748.357986111107</v>
      </c>
      <c r="C116" s="36" t="s">
        <v>103</v>
      </c>
      <c r="D116" s="36" t="s">
        <v>436</v>
      </c>
      <c r="E116" s="36" t="s">
        <v>617</v>
      </c>
      <c r="F116" s="36" t="s">
        <v>188</v>
      </c>
      <c r="G116" s="36" t="s">
        <v>666</v>
      </c>
      <c r="H116"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process time payment and needs information</v>
      </c>
      <c r="I116" s="36"/>
      <c r="J116" s="36"/>
      <c r="K116" s="5" t="str">
        <f>getIntent(Table24[[#This Row],[action]],Table24[[#This Row],[product family]],Table24[[#This Row],[detailed product]],Table24[[#This Row],[action attribute]])</f>
        <v>Client needs information about the time for an unspecified payment</v>
      </c>
      <c r="L116" s="16" t="s">
        <v>182</v>
      </c>
      <c r="M116" s="16"/>
      <c r="N116" s="16"/>
      <c r="O116" s="16"/>
      <c r="P116" s="16" t="s">
        <v>212</v>
      </c>
      <c r="Q116" s="16" t="s">
        <v>541</v>
      </c>
    </row>
    <row r="117" spans="1:19" ht="48" x14ac:dyDescent="0.2">
      <c r="A117" s="1">
        <v>157205</v>
      </c>
      <c r="B117" s="2">
        <v>43748.237337962957</v>
      </c>
      <c r="C117" s="29" t="s">
        <v>130</v>
      </c>
      <c r="D117" s="29" t="s">
        <v>436</v>
      </c>
      <c r="E117" s="29" t="s">
        <v>633</v>
      </c>
      <c r="F117" s="29" t="s">
        <v>188</v>
      </c>
      <c r="G117" s="29" t="s">
        <v>646</v>
      </c>
      <c r="H117"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mismatch account number payment and needs instructions</v>
      </c>
      <c r="I117" s="29"/>
      <c r="J117" s="29"/>
      <c r="K117" s="5" t="str">
        <f>getIntent(Table24[[#This Row],[action]],Table24[[#This Row],[product family]],Table24[[#This Row],[detailed product]],Table24[[#This Row],[action attribute]])</f>
        <v>Client needs information about an unspecified payment</v>
      </c>
      <c r="L117" s="16" t="s">
        <v>182</v>
      </c>
      <c r="M117" s="16"/>
      <c r="N117" s="16"/>
      <c r="O117" s="16"/>
      <c r="P117" s="16" t="s">
        <v>212</v>
      </c>
      <c r="Q117" s="16"/>
      <c r="S117" t="s">
        <v>545</v>
      </c>
    </row>
    <row r="118" spans="1:19" ht="32" x14ac:dyDescent="0.2">
      <c r="A118" s="1">
        <v>156274</v>
      </c>
      <c r="B118" s="2">
        <v>43748.230486111112</v>
      </c>
      <c r="C118" s="24" t="s">
        <v>83</v>
      </c>
      <c r="D118" s="24" t="s">
        <v>670</v>
      </c>
      <c r="E118" s="24" t="s">
        <v>188</v>
      </c>
      <c r="F118" s="24" t="s">
        <v>188</v>
      </c>
      <c r="G118" s="24" t="s">
        <v>671</v>
      </c>
      <c r="H118"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18" s="24"/>
      <c r="J118" s="24"/>
      <c r="K118" s="5" t="str">
        <f>getIntent(Table24[[#This Row],[action]],Table24[[#This Row],[product family]],Table24[[#This Row],[detailed product]],Table24[[#This Row],[action attribute]])</f>
        <v>About something unknown</v>
      </c>
      <c r="L118" t="s">
        <v>188</v>
      </c>
      <c r="M118" t="s">
        <v>188</v>
      </c>
      <c r="N118" t="s">
        <v>188</v>
      </c>
      <c r="O118" t="s">
        <v>188</v>
      </c>
      <c r="P118" t="s">
        <v>188</v>
      </c>
      <c r="Q118" t="s">
        <v>188</v>
      </c>
      <c r="R118" t="s">
        <v>530</v>
      </c>
    </row>
    <row r="119" spans="1:19" ht="48" x14ac:dyDescent="0.2">
      <c r="A119" s="1">
        <v>155088</v>
      </c>
      <c r="B119" s="2">
        <v>43748.226342592592</v>
      </c>
      <c r="C119" s="25" t="s">
        <v>61</v>
      </c>
      <c r="D119" s="25" t="s">
        <v>188</v>
      </c>
      <c r="E119" s="25" t="s">
        <v>188</v>
      </c>
      <c r="F119" s="25" t="s">
        <v>188</v>
      </c>
      <c r="G119" s="25" t="s">
        <v>665</v>
      </c>
      <c r="H119" s="2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repeat question in english</v>
      </c>
      <c r="I119" s="25"/>
      <c r="J119" s="25"/>
      <c r="K119" s="5" t="str">
        <f>getIntent(Table24[[#This Row],[action]],Table24[[#This Row],[product family]],Table24[[#This Row],[detailed product]],Table24[[#This Row],[action attribute]])</f>
        <v>About something unknown</v>
      </c>
      <c r="L119" s="17" t="s">
        <v>188</v>
      </c>
      <c r="M119" s="17" t="s">
        <v>188</v>
      </c>
      <c r="N119" s="17" t="s">
        <v>188</v>
      </c>
      <c r="O119" s="17" t="s">
        <v>188</v>
      </c>
      <c r="P119" s="17" t="s">
        <v>188</v>
      </c>
      <c r="Q119" s="17" t="s">
        <v>188</v>
      </c>
      <c r="R119" t="s">
        <v>536</v>
      </c>
    </row>
    <row r="120" spans="1:19" ht="16" x14ac:dyDescent="0.2">
      <c r="A120" s="1">
        <v>157245</v>
      </c>
      <c r="B120" s="2">
        <v>43748.181979166657</v>
      </c>
      <c r="C120" s="27" t="s">
        <v>122</v>
      </c>
      <c r="D120" s="27" t="s">
        <v>188</v>
      </c>
      <c r="E120" s="27" t="s">
        <v>188</v>
      </c>
      <c r="F120" s="27" t="s">
        <v>188</v>
      </c>
      <c r="G120" s="27" t="s">
        <v>664</v>
      </c>
      <c r="H120"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20" s="27"/>
      <c r="J120" s="27"/>
      <c r="K120" s="5" t="str">
        <f>getIntent(Table24[[#This Row],[action]],Table24[[#This Row],[product family]],Table24[[#This Row],[detailed product]],Table24[[#This Row],[action attribute]])</f>
        <v>About something unknown</v>
      </c>
      <c r="L120" s="18" t="s">
        <v>188</v>
      </c>
      <c r="M120" s="18" t="s">
        <v>188</v>
      </c>
      <c r="N120" s="18" t="s">
        <v>188</v>
      </c>
      <c r="O120" s="18" t="s">
        <v>188</v>
      </c>
      <c r="P120" s="18" t="s">
        <v>188</v>
      </c>
      <c r="Q120" s="18" t="s">
        <v>188</v>
      </c>
      <c r="R120" t="s">
        <v>555</v>
      </c>
    </row>
    <row r="121" spans="1:19" ht="32" x14ac:dyDescent="0.2">
      <c r="A121" s="1">
        <v>155876</v>
      </c>
      <c r="B121" s="2">
        <v>43748.163136574083</v>
      </c>
      <c r="C121" s="24" t="s">
        <v>30</v>
      </c>
      <c r="D121" s="24" t="s">
        <v>670</v>
      </c>
      <c r="E121" s="24" t="s">
        <v>188</v>
      </c>
      <c r="F121" s="24" t="s">
        <v>188</v>
      </c>
      <c r="G121" s="24" t="s">
        <v>671</v>
      </c>
      <c r="H121"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21" s="24"/>
      <c r="J121" s="24"/>
      <c r="K121" s="5" t="str">
        <f>getIntent(Table24[[#This Row],[action]],Table24[[#This Row],[product family]],Table24[[#This Row],[detailed product]],Table24[[#This Row],[action attribute]])</f>
        <v>About something unknown</v>
      </c>
      <c r="L121" s="17" t="s">
        <v>188</v>
      </c>
      <c r="M121" s="17" t="s">
        <v>188</v>
      </c>
      <c r="N121" s="17" t="s">
        <v>188</v>
      </c>
      <c r="O121" s="17" t="s">
        <v>188</v>
      </c>
      <c r="P121" s="17" t="s">
        <v>188</v>
      </c>
      <c r="Q121" s="17" t="s">
        <v>188</v>
      </c>
      <c r="R121" t="s">
        <v>530</v>
      </c>
    </row>
    <row r="122" spans="1:19" ht="32" x14ac:dyDescent="0.2">
      <c r="A122" s="1">
        <v>157572</v>
      </c>
      <c r="B122" s="2">
        <v>43748.024502314824</v>
      </c>
      <c r="C122" s="36" t="s">
        <v>40</v>
      </c>
      <c r="D122" s="36" t="s">
        <v>436</v>
      </c>
      <c r="E122" s="36" t="s">
        <v>617</v>
      </c>
      <c r="F122" s="36" t="s">
        <v>188</v>
      </c>
      <c r="G122" s="36" t="s">
        <v>666</v>
      </c>
      <c r="H122"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process time payment and needs information</v>
      </c>
      <c r="I122" s="36"/>
      <c r="J122" s="36"/>
      <c r="K122" s="5" t="str">
        <f>getIntent(Table24[[#This Row],[action]],Table24[[#This Row],[product family]],Table24[[#This Row],[detailed product]],Table24[[#This Row],[action attribute]])</f>
        <v>Client wants to check the not retrieved for an unspecified payment</v>
      </c>
      <c r="L122" t="s">
        <v>182</v>
      </c>
      <c r="P122" t="s">
        <v>192</v>
      </c>
      <c r="Q122" t="s">
        <v>208</v>
      </c>
    </row>
    <row r="123" spans="1:19" ht="64" x14ac:dyDescent="0.2">
      <c r="A123" s="1">
        <v>168793</v>
      </c>
      <c r="B123" s="2">
        <v>43747.682615740741</v>
      </c>
      <c r="C123" s="31" t="s">
        <v>108</v>
      </c>
      <c r="D123" s="31" t="s">
        <v>616</v>
      </c>
      <c r="E123" s="31" t="s">
        <v>669</v>
      </c>
      <c r="F123" s="31" t="s">
        <v>619</v>
      </c>
      <c r="G123" s="31" t="s">
        <v>646</v>
      </c>
      <c r="H123"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123" s="31"/>
      <c r="J123" s="31"/>
      <c r="K123" s="5" t="str">
        <f>getIntent(Table24[[#This Row],[action]],Table24[[#This Row],[product family]],Table24[[#This Row],[detailed product]],Table24[[#This Row],[action attribute]])</f>
        <v>Client needs information about the id means for something unknown</v>
      </c>
      <c r="L123" s="16" t="s">
        <v>188</v>
      </c>
      <c r="M123" s="16"/>
      <c r="N123" s="16"/>
      <c r="O123" s="16"/>
      <c r="P123" s="16" t="s">
        <v>212</v>
      </c>
      <c r="Q123" s="16" t="s">
        <v>548</v>
      </c>
    </row>
    <row r="124" spans="1:19" ht="112" x14ac:dyDescent="0.2">
      <c r="A124" s="1">
        <v>169089</v>
      </c>
      <c r="B124" s="2">
        <v>43747.557881944442</v>
      </c>
      <c r="C124" s="36" t="s">
        <v>94</v>
      </c>
      <c r="D124" s="36" t="s">
        <v>436</v>
      </c>
      <c r="E124" s="36" t="s">
        <v>618</v>
      </c>
      <c r="F124" s="36" t="s">
        <v>672</v>
      </c>
      <c r="G124" s="36" t="s">
        <v>502</v>
      </c>
      <c r="H124"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124" s="36"/>
      <c r="J124" s="36"/>
      <c r="K124" s="5" t="str">
        <f>getIntent(Table24[[#This Row],[action]],Table24[[#This Row],[product family]],Table24[[#This Row],[detailed product]],Table24[[#This Row],[action attribute]])</f>
        <v>Client wants to check the not retrieved for an unspecified payment</v>
      </c>
      <c r="L124" s="16" t="s">
        <v>182</v>
      </c>
      <c r="M124" s="16"/>
      <c r="N124" s="16"/>
      <c r="O124" s="16"/>
      <c r="P124" s="16" t="s">
        <v>192</v>
      </c>
      <c r="Q124" s="16" t="s">
        <v>208</v>
      </c>
    </row>
    <row r="125" spans="1:19" ht="48" x14ac:dyDescent="0.2">
      <c r="A125" s="1">
        <v>168726</v>
      </c>
      <c r="B125" s="2">
        <v>43747.545567129629</v>
      </c>
      <c r="C125" s="30" t="s">
        <v>49</v>
      </c>
      <c r="D125" s="30" t="s">
        <v>166</v>
      </c>
      <c r="E125" s="30" t="s">
        <v>675</v>
      </c>
      <c r="F125" s="30" t="s">
        <v>672</v>
      </c>
      <c r="G125" s="30" t="s">
        <v>502</v>
      </c>
      <c r="H12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125" s="30"/>
      <c r="J125" s="30"/>
      <c r="K125" s="5" t="str">
        <f>getIntent(Table24[[#This Row],[action]],Table24[[#This Row],[product family]],Table24[[#This Row],[detailed product]],Table24[[#This Row],[action attribute]])</f>
        <v>Client needs information about the not approved for an unspecified account</v>
      </c>
      <c r="L125" s="18" t="s">
        <v>140</v>
      </c>
      <c r="M125" s="18"/>
      <c r="N125" s="18"/>
      <c r="O125" s="18"/>
      <c r="P125" s="22" t="s">
        <v>212</v>
      </c>
      <c r="Q125" s="21" t="s">
        <v>193</v>
      </c>
    </row>
    <row r="126" spans="1:19" ht="32" x14ac:dyDescent="0.2">
      <c r="A126" s="1">
        <v>167786</v>
      </c>
      <c r="B126" s="2">
        <v>43747.535324074073</v>
      </c>
      <c r="C126" s="24" t="s">
        <v>29</v>
      </c>
      <c r="D126" s="24" t="s">
        <v>670</v>
      </c>
      <c r="E126" s="24" t="s">
        <v>188</v>
      </c>
      <c r="F126" s="24" t="s">
        <v>188</v>
      </c>
      <c r="G126" s="24" t="s">
        <v>671</v>
      </c>
      <c r="H126" s="2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starts dialogue and needs a welcome reply</v>
      </c>
      <c r="I126" s="24"/>
      <c r="J126" s="24"/>
      <c r="K126" s="5" t="str">
        <f>getIntent(Table24[[#This Row],[action]],Table24[[#This Row],[product family]],Table24[[#This Row],[detailed product]],Table24[[#This Row],[action attribute]])</f>
        <v>About something unknown</v>
      </c>
      <c r="L126" t="s">
        <v>188</v>
      </c>
      <c r="M126" t="s">
        <v>188</v>
      </c>
      <c r="N126" t="s">
        <v>188</v>
      </c>
      <c r="O126" t="s">
        <v>188</v>
      </c>
      <c r="P126" t="s">
        <v>188</v>
      </c>
      <c r="Q126" t="s">
        <v>188</v>
      </c>
      <c r="R126" t="s">
        <v>530</v>
      </c>
    </row>
    <row r="127" spans="1:19" ht="32" x14ac:dyDescent="0.2">
      <c r="A127" s="1">
        <v>168278</v>
      </c>
      <c r="B127" s="2">
        <v>43747.455138888887</v>
      </c>
      <c r="C127" s="29" t="s">
        <v>124</v>
      </c>
      <c r="D127" s="29" t="s">
        <v>436</v>
      </c>
      <c r="E127" s="29" t="s">
        <v>649</v>
      </c>
      <c r="F127" s="29" t="s">
        <v>188</v>
      </c>
      <c r="G127" s="29" t="s">
        <v>646</v>
      </c>
      <c r="H127"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deposit payment and needs instructions</v>
      </c>
      <c r="I127" s="29"/>
      <c r="J127" s="29"/>
      <c r="K127" s="5" t="str">
        <f>getIntent(Table24[[#This Row],[action]],Table24[[#This Row],[product family]],Table24[[#This Row],[detailed product]],Table24[[#This Row],[action attribute]])</f>
        <v>Client needs information about an unspecified payment</v>
      </c>
      <c r="L127" s="18" t="s">
        <v>182</v>
      </c>
      <c r="M127" s="18"/>
      <c r="N127" s="18"/>
      <c r="O127" s="18"/>
      <c r="P127" s="18" t="s">
        <v>212</v>
      </c>
      <c r="Q127" s="18"/>
    </row>
    <row r="128" spans="1:19" ht="48" x14ac:dyDescent="0.2">
      <c r="A128" s="1">
        <v>168568</v>
      </c>
      <c r="B128" s="2">
        <v>43746.974733796298</v>
      </c>
      <c r="C128" s="28" t="s">
        <v>88</v>
      </c>
      <c r="D128" s="28" t="s">
        <v>188</v>
      </c>
      <c r="E128" s="28" t="s">
        <v>188</v>
      </c>
      <c r="F128" s="28" t="s">
        <v>639</v>
      </c>
      <c r="G128" s="28" t="s">
        <v>664</v>
      </c>
      <c r="H128" s="28"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because of disconnected dialogue and needs to clarify question</v>
      </c>
      <c r="I128" s="28"/>
      <c r="J128" s="28"/>
      <c r="K128" s="5" t="str">
        <f>getIntent(Table24[[#This Row],[action]],Table24[[#This Row],[product family]],Table24[[#This Row],[detailed product]],Table24[[#This Row],[action attribute]])</f>
        <v>About something unknown</v>
      </c>
      <c r="L128" t="s">
        <v>188</v>
      </c>
      <c r="M128" t="s">
        <v>188</v>
      </c>
      <c r="N128" t="s">
        <v>188</v>
      </c>
      <c r="O128" t="s">
        <v>188</v>
      </c>
      <c r="P128" t="s">
        <v>188</v>
      </c>
      <c r="Q128" t="s">
        <v>188</v>
      </c>
      <c r="R128" t="s">
        <v>553</v>
      </c>
    </row>
    <row r="129" spans="1:19" ht="16" x14ac:dyDescent="0.2">
      <c r="A129" s="1">
        <v>176892</v>
      </c>
      <c r="B129" s="2">
        <v>43746.458043981482</v>
      </c>
      <c r="C129" s="27" t="s">
        <v>18</v>
      </c>
      <c r="D129" s="27" t="s">
        <v>188</v>
      </c>
      <c r="E129" s="27" t="s">
        <v>188</v>
      </c>
      <c r="F129" s="27" t="s">
        <v>188</v>
      </c>
      <c r="G129" s="27" t="s">
        <v>664</v>
      </c>
      <c r="H129"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29" s="27"/>
      <c r="J129" s="27"/>
      <c r="K129" s="5" t="str">
        <f>getIntent(Table24[[#This Row],[action]],Table24[[#This Row],[product family]],Table24[[#This Row],[detailed product]],Table24[[#This Row],[action attribute]])</f>
        <v>About something unknown</v>
      </c>
      <c r="L129" s="18" t="s">
        <v>188</v>
      </c>
      <c r="M129" s="18" t="s">
        <v>188</v>
      </c>
      <c r="N129" s="18" t="s">
        <v>188</v>
      </c>
      <c r="O129" s="18" t="s">
        <v>188</v>
      </c>
      <c r="P129" s="18" t="s">
        <v>188</v>
      </c>
      <c r="Q129" s="18" t="s">
        <v>188</v>
      </c>
      <c r="R129" t="s">
        <v>543</v>
      </c>
    </row>
    <row r="130" spans="1:19" ht="64" x14ac:dyDescent="0.2">
      <c r="A130" s="1">
        <v>176342</v>
      </c>
      <c r="B130" s="2">
        <v>43745.961898148147</v>
      </c>
      <c r="C130" s="31" t="s">
        <v>21</v>
      </c>
      <c r="D130" s="31" t="s">
        <v>616</v>
      </c>
      <c r="E130" s="31" t="s">
        <v>669</v>
      </c>
      <c r="F130" s="31" t="s">
        <v>619</v>
      </c>
      <c r="G130" s="31" t="s">
        <v>646</v>
      </c>
      <c r="H130" s="31"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submit different id credentials because of missing required credentials and needs instructions</v>
      </c>
      <c r="I130" s="31"/>
      <c r="J130" s="31"/>
      <c r="K130" s="5" t="str">
        <f>getIntent(Table24[[#This Row],[action]],Table24[[#This Row],[product family]],Table24[[#This Row],[detailed product]],Table24[[#This Row],[action attribute]])</f>
        <v>Client needs information about an unspecified account</v>
      </c>
      <c r="L130" s="17" t="s">
        <v>140</v>
      </c>
      <c r="M130" s="17"/>
      <c r="N130" s="17"/>
      <c r="O130" s="17"/>
      <c r="P130" s="17" t="s">
        <v>212</v>
      </c>
      <c r="Q130" s="17"/>
    </row>
    <row r="131" spans="1:19" ht="64" x14ac:dyDescent="0.2">
      <c r="A131" s="1">
        <v>166390</v>
      </c>
      <c r="B131" s="2">
        <v>43745.704305555562</v>
      </c>
      <c r="C131" s="30" t="s">
        <v>66</v>
      </c>
      <c r="D131" s="42" t="s">
        <v>166</v>
      </c>
      <c r="E131" s="30" t="s">
        <v>628</v>
      </c>
      <c r="F131" s="30" t="s">
        <v>242</v>
      </c>
      <c r="G131" s="30" t="s">
        <v>502</v>
      </c>
      <c r="H131"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wrong credentials account because of update and needs status</v>
      </c>
      <c r="I131" s="30"/>
      <c r="J131" s="30"/>
      <c r="K131" s="5" t="str">
        <f>getIntent(Table24[[#This Row],[action]],Table24[[#This Row],[product family]],Table24[[#This Row],[detailed product]],Table24[[#This Row],[action attribute]])</f>
        <v>Client wants to check the not approved for an unspecified account</v>
      </c>
      <c r="L131" s="21" t="s">
        <v>140</v>
      </c>
      <c r="M131" s="18"/>
      <c r="N131" s="18" t="s">
        <v>210</v>
      </c>
      <c r="O131" s="18"/>
      <c r="P131" s="18" t="s">
        <v>192</v>
      </c>
      <c r="Q131" s="21" t="s">
        <v>193</v>
      </c>
    </row>
    <row r="132" spans="1:19" ht="32" x14ac:dyDescent="0.2">
      <c r="A132" s="1">
        <v>164028</v>
      </c>
      <c r="B132" s="2">
        <v>43744.962962962964</v>
      </c>
      <c r="C132" s="35" t="s">
        <v>86</v>
      </c>
      <c r="D132" s="35" t="s">
        <v>188</v>
      </c>
      <c r="E132" s="35" t="s">
        <v>677</v>
      </c>
      <c r="F132" s="35" t="s">
        <v>188</v>
      </c>
      <c r="G132" s="35" t="s">
        <v>646</v>
      </c>
      <c r="H132"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needs bank certificate and needs instructions</v>
      </c>
      <c r="I132" s="35"/>
      <c r="J132" s="35"/>
      <c r="K132" s="5" t="str">
        <f>getIntent(Table24[[#This Row],[action]],Table24[[#This Row],[product family]],Table24[[#This Row],[detailed product]],Table24[[#This Row],[action attribute]])</f>
        <v>About something unknown</v>
      </c>
      <c r="L132" t="s">
        <v>188</v>
      </c>
      <c r="P132" s="22" t="s">
        <v>188</v>
      </c>
      <c r="R132" t="s">
        <v>562</v>
      </c>
    </row>
    <row r="133" spans="1:19" ht="32" x14ac:dyDescent="0.2">
      <c r="A133" s="1">
        <v>179875</v>
      </c>
      <c r="B133" s="2">
        <v>43744.583495370367</v>
      </c>
      <c r="C133" s="35" t="s">
        <v>123</v>
      </c>
      <c r="D133" s="35" t="s">
        <v>436</v>
      </c>
      <c r="E133" s="35" t="s">
        <v>659</v>
      </c>
      <c r="F133" s="35" t="s">
        <v>188</v>
      </c>
      <c r="G133" s="35" t="s">
        <v>664</v>
      </c>
      <c r="H133" s="35"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transfer payment and needs to clarify question</v>
      </c>
      <c r="I133" s="35"/>
      <c r="J133" s="35"/>
      <c r="K133" s="5" t="str">
        <f>getIntent(Table24[[#This Row],[action]],Table24[[#This Row],[product family]],Table24[[#This Row],[detailed product]],Table24[[#This Row],[action attribute]])</f>
        <v>Client wants to check the state_blocked for an unspecified payment</v>
      </c>
      <c r="L133" s="16" t="s">
        <v>182</v>
      </c>
      <c r="M133" s="16"/>
      <c r="N133" s="16"/>
      <c r="O133" s="16" t="s">
        <v>230</v>
      </c>
      <c r="P133" s="16" t="s">
        <v>192</v>
      </c>
      <c r="Q133" t="s">
        <v>227</v>
      </c>
    </row>
    <row r="134" spans="1:19" ht="32" x14ac:dyDescent="0.2">
      <c r="A134" s="1">
        <v>179525</v>
      </c>
      <c r="B134" s="2">
        <v>43744.507245370369</v>
      </c>
      <c r="C134" s="36" t="s">
        <v>2</v>
      </c>
      <c r="D134" s="36" t="s">
        <v>436</v>
      </c>
      <c r="E134" s="36" t="s">
        <v>617</v>
      </c>
      <c r="F134" s="36" t="s">
        <v>188</v>
      </c>
      <c r="G134" s="36" t="s">
        <v>666</v>
      </c>
      <c r="H134"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process time payment and needs information</v>
      </c>
      <c r="I134" s="36"/>
      <c r="J134" s="36"/>
      <c r="K134" s="5" t="str">
        <f>getIntent(Table24[[#This Row],[action]],Table24[[#This Row],[product family]],Table24[[#This Row],[detailed product]],Table24[[#This Row],[action attribute]])</f>
        <v>Client needs information about an unspecified payment</v>
      </c>
      <c r="L134" s="17" t="s">
        <v>182</v>
      </c>
      <c r="M134" s="17"/>
      <c r="N134" s="17"/>
      <c r="O134" s="17"/>
      <c r="P134" s="23" t="s">
        <v>212</v>
      </c>
      <c r="Q134" s="17"/>
    </row>
    <row r="135" spans="1:19" ht="64" x14ac:dyDescent="0.2">
      <c r="A135" s="1">
        <v>180591</v>
      </c>
      <c r="B135" s="2">
        <v>43743.933252314811</v>
      </c>
      <c r="C135" s="30" t="s">
        <v>9</v>
      </c>
      <c r="D135" s="30" t="s">
        <v>166</v>
      </c>
      <c r="E135" s="30" t="s">
        <v>675</v>
      </c>
      <c r="F135" s="30" t="s">
        <v>672</v>
      </c>
      <c r="G135" s="30" t="s">
        <v>502</v>
      </c>
      <c r="H135"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135" s="30"/>
      <c r="J135" s="30"/>
      <c r="K135" s="5" t="str">
        <f>getIntent(Table24[[#This Row],[action]],Table24[[#This Row],[product family]],Table24[[#This Row],[detailed product]],Table24[[#This Row],[action attribute]])</f>
        <v>Client needs information about the not approved for an unspecified account</v>
      </c>
      <c r="L135" s="18" t="s">
        <v>140</v>
      </c>
      <c r="M135" s="18"/>
      <c r="N135" s="18"/>
      <c r="O135" s="18"/>
      <c r="P135" s="22" t="s">
        <v>212</v>
      </c>
      <c r="Q135" s="21" t="s">
        <v>193</v>
      </c>
    </row>
    <row r="136" spans="1:19" ht="16" x14ac:dyDescent="0.2">
      <c r="A136" s="1">
        <v>131133</v>
      </c>
      <c r="B136" s="2">
        <v>43742.75445601852</v>
      </c>
      <c r="C136" s="27" t="s">
        <v>117</v>
      </c>
      <c r="D136" s="27" t="s">
        <v>188</v>
      </c>
      <c r="E136" s="27" t="s">
        <v>188</v>
      </c>
      <c r="F136" s="27" t="s">
        <v>188</v>
      </c>
      <c r="G136" s="27" t="s">
        <v>664</v>
      </c>
      <c r="H136"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36" s="27"/>
      <c r="J136" s="27"/>
      <c r="K136" s="5" t="str">
        <f>getIntent(Table24[[#This Row],[action]],Table24[[#This Row],[product family]],Table24[[#This Row],[detailed product]],Table24[[#This Row],[action attribute]])</f>
        <v>About something unknown</v>
      </c>
      <c r="L136" s="17" t="s">
        <v>188</v>
      </c>
      <c r="M136" s="17"/>
      <c r="N136" s="39" t="s">
        <v>354</v>
      </c>
      <c r="O136" s="17"/>
      <c r="P136" s="22" t="s">
        <v>188</v>
      </c>
      <c r="Q136" s="17"/>
    </row>
    <row r="137" spans="1:19" ht="32" x14ac:dyDescent="0.2">
      <c r="A137" s="1">
        <v>130515</v>
      </c>
      <c r="B137" s="2">
        <v>43742.712581018517</v>
      </c>
      <c r="C137" s="33" t="s">
        <v>92</v>
      </c>
      <c r="D137" s="33" t="s">
        <v>616</v>
      </c>
      <c r="E137" s="33" t="s">
        <v>188</v>
      </c>
      <c r="F137" s="33" t="s">
        <v>242</v>
      </c>
      <c r="G137" s="33" t="s">
        <v>646</v>
      </c>
      <c r="H137"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credentials because of update and needs instructions</v>
      </c>
      <c r="I137" s="33"/>
      <c r="J137" s="33"/>
      <c r="K137" s="5" t="str">
        <f>getIntent(Table24[[#This Row],[action]],Table24[[#This Row],[product family]],Table24[[#This Row],[detailed product]],Table24[[#This Row],[action attribute]])</f>
        <v>Client wants to change something unknown</v>
      </c>
      <c r="L137" s="18" t="s">
        <v>188</v>
      </c>
      <c r="M137" s="18"/>
      <c r="N137" s="18" t="s">
        <v>354</v>
      </c>
      <c r="O137" s="18"/>
      <c r="P137" s="18" t="s">
        <v>174</v>
      </c>
      <c r="Q137" s="18"/>
    </row>
    <row r="138" spans="1:19" ht="32" x14ac:dyDescent="0.2">
      <c r="A138" s="1">
        <v>129816</v>
      </c>
      <c r="B138" s="2">
        <v>43742.611076388886</v>
      </c>
      <c r="C138" s="26" t="s">
        <v>55</v>
      </c>
      <c r="D138" s="26" t="s">
        <v>166</v>
      </c>
      <c r="E138" s="26" t="s">
        <v>644</v>
      </c>
      <c r="F138" s="26" t="s">
        <v>188</v>
      </c>
      <c r="G138" s="26" t="s">
        <v>664</v>
      </c>
      <c r="H138"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open account and needs to clarify question</v>
      </c>
      <c r="I138" s="26"/>
      <c r="J138" s="26"/>
      <c r="K138" s="5" t="str">
        <f>getIntent(Table24[[#This Row],[action]],Table24[[#This Row],[product family]],Table24[[#This Row],[detailed product]],Table24[[#This Row],[action attribute]])</f>
        <v>Client wants to check an unspecified account</v>
      </c>
      <c r="L138" s="17" t="s">
        <v>140</v>
      </c>
      <c r="M138" s="17"/>
      <c r="N138" s="17"/>
      <c r="O138" s="17"/>
      <c r="P138" s="17" t="s">
        <v>192</v>
      </c>
      <c r="Q138" s="18"/>
    </row>
    <row r="139" spans="1:19" ht="48" x14ac:dyDescent="0.2">
      <c r="A139" s="1">
        <v>130506</v>
      </c>
      <c r="B139" s="2">
        <v>43742.434664351851</v>
      </c>
      <c r="C139" s="32" t="s">
        <v>111</v>
      </c>
      <c r="D139" s="32" t="s">
        <v>166</v>
      </c>
      <c r="E139" s="32" t="s">
        <v>642</v>
      </c>
      <c r="F139" s="32" t="s">
        <v>673</v>
      </c>
      <c r="G139" s="32" t="s">
        <v>646</v>
      </c>
      <c r="H139" s="32"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fails to login account because of lost credentials and needs instructions</v>
      </c>
      <c r="I139" s="32"/>
      <c r="J139" s="32"/>
      <c r="K139" s="5" t="str">
        <f>getIntent(Table24[[#This Row],[action]],Table24[[#This Row],[product family]],Table24[[#This Row],[detailed product]],Table24[[#This Row],[action attribute]])</f>
        <v>Client needs information about something unknown</v>
      </c>
      <c r="L139" s="18" t="s">
        <v>188</v>
      </c>
      <c r="M139" s="21"/>
      <c r="N139" s="22" t="s">
        <v>160</v>
      </c>
      <c r="O139" s="18"/>
      <c r="P139" s="18" t="s">
        <v>212</v>
      </c>
      <c r="Q139" s="18"/>
      <c r="S139" t="s">
        <v>538</v>
      </c>
    </row>
    <row r="140" spans="1:19" ht="32" x14ac:dyDescent="0.2">
      <c r="A140" s="1">
        <v>129755</v>
      </c>
      <c r="B140" s="2">
        <v>43742.426817129628</v>
      </c>
      <c r="C140" s="33" t="s">
        <v>15</v>
      </c>
      <c r="D140" s="33" t="s">
        <v>616</v>
      </c>
      <c r="E140" s="33" t="s">
        <v>188</v>
      </c>
      <c r="F140" s="33" t="s">
        <v>242</v>
      </c>
      <c r="G140" s="33" t="s">
        <v>646</v>
      </c>
      <c r="H140" s="33"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credentials because of update and needs instructions</v>
      </c>
      <c r="I140" s="33"/>
      <c r="J140" s="33"/>
      <c r="K140" s="5" t="str">
        <f>getIntent(Table24[[#This Row],[action]],Table24[[#This Row],[product family]],Table24[[#This Row],[detailed product]],Table24[[#This Row],[action attribute]])</f>
        <v>Client wants to check the not approved for something unknown</v>
      </c>
      <c r="L140" s="18" t="s">
        <v>188</v>
      </c>
      <c r="M140" s="18"/>
      <c r="N140" s="18" t="s">
        <v>210</v>
      </c>
      <c r="O140" s="18"/>
      <c r="P140" s="18" t="s">
        <v>192</v>
      </c>
      <c r="Q140" s="18" t="s">
        <v>193</v>
      </c>
    </row>
    <row r="141" spans="1:19" ht="16" x14ac:dyDescent="0.2">
      <c r="A141" s="1">
        <v>131560</v>
      </c>
      <c r="B141" s="2">
        <v>43742.31763888889</v>
      </c>
      <c r="C141" s="27" t="s">
        <v>45</v>
      </c>
      <c r="D141" s="27" t="s">
        <v>188</v>
      </c>
      <c r="E141" s="27" t="s">
        <v>188</v>
      </c>
      <c r="F141" s="27" t="s">
        <v>188</v>
      </c>
      <c r="G141" s="27" t="s">
        <v>664</v>
      </c>
      <c r="H141"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41" s="27"/>
      <c r="J141" s="27"/>
      <c r="K141" s="5" t="str">
        <f>getIntent(Table24[[#This Row],[action]],Table24[[#This Row],[product family]],Table24[[#This Row],[detailed product]],Table24[[#This Row],[action attribute]])</f>
        <v>About something unknown</v>
      </c>
      <c r="L141" t="s">
        <v>188</v>
      </c>
      <c r="M141" t="s">
        <v>188</v>
      </c>
      <c r="N141" t="s">
        <v>188</v>
      </c>
      <c r="O141" t="s">
        <v>188</v>
      </c>
      <c r="P141" t="s">
        <v>188</v>
      </c>
      <c r="Q141" t="s">
        <v>188</v>
      </c>
      <c r="R141" t="s">
        <v>547</v>
      </c>
    </row>
    <row r="142" spans="1:19" ht="48" x14ac:dyDescent="0.2">
      <c r="A142" s="1">
        <v>131214</v>
      </c>
      <c r="B142" s="2">
        <v>43742.310983796298</v>
      </c>
      <c r="C142" s="34" t="s">
        <v>95</v>
      </c>
      <c r="D142" s="34" t="s">
        <v>166</v>
      </c>
      <c r="E142" s="34" t="s">
        <v>658</v>
      </c>
      <c r="F142" s="34" t="s">
        <v>188</v>
      </c>
      <c r="G142" s="34" t="s">
        <v>666</v>
      </c>
      <c r="H142" s="34"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know the minimum deposit account and needs information</v>
      </c>
      <c r="I142" s="34"/>
      <c r="J142" s="34"/>
      <c r="K142" s="5" t="str">
        <f>getIntent(Table24[[#This Row],[action]],Table24[[#This Row],[product family]],Table24[[#This Row],[detailed product]],Table24[[#This Row],[action attribute]])</f>
        <v>Client needs information about an unspecified account</v>
      </c>
      <c r="L142" s="22" t="s">
        <v>140</v>
      </c>
      <c r="P142" s="22" t="s">
        <v>212</v>
      </c>
      <c r="R142" t="s">
        <v>563</v>
      </c>
    </row>
    <row r="143" spans="1:19" ht="16" x14ac:dyDescent="0.2">
      <c r="A143" s="1">
        <v>126612</v>
      </c>
      <c r="B143" s="2">
        <v>43741.828298611108</v>
      </c>
      <c r="C143" s="26" t="s">
        <v>34</v>
      </c>
      <c r="D143" s="26" t="s">
        <v>188</v>
      </c>
      <c r="E143" s="26" t="s">
        <v>188</v>
      </c>
      <c r="F143" s="26" t="s">
        <v>188</v>
      </c>
      <c r="G143" s="26" t="s">
        <v>667</v>
      </c>
      <c r="H143"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143" s="26"/>
      <c r="J143" s="26"/>
      <c r="K143" s="5" t="str">
        <f>getIntent(Table24[[#This Row],[action]],Table24[[#This Row],[product family]],Table24[[#This Row],[detailed product]],Table24[[#This Row],[action attribute]])</f>
        <v>About something unknown</v>
      </c>
      <c r="L143" t="s">
        <v>188</v>
      </c>
      <c r="M143" t="s">
        <v>188</v>
      </c>
      <c r="N143" t="s">
        <v>188</v>
      </c>
      <c r="O143" t="s">
        <v>188</v>
      </c>
      <c r="P143" t="s">
        <v>188</v>
      </c>
      <c r="Q143" t="s">
        <v>188</v>
      </c>
    </row>
    <row r="144" spans="1:19" ht="64" x14ac:dyDescent="0.2">
      <c r="A144" s="1">
        <v>126473</v>
      </c>
      <c r="B144" s="2">
        <v>43741.66878472222</v>
      </c>
      <c r="C144" s="30" t="s">
        <v>132</v>
      </c>
      <c r="D144" s="30" t="s">
        <v>166</v>
      </c>
      <c r="E144" s="30" t="s">
        <v>675</v>
      </c>
      <c r="F144" s="30" t="s">
        <v>242</v>
      </c>
      <c r="G144" s="30" t="s">
        <v>502</v>
      </c>
      <c r="H144"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update and needs status</v>
      </c>
      <c r="I144" s="41"/>
      <c r="J144" s="41"/>
      <c r="K144" s="5" t="str">
        <f>getIntent(Table24[[#This Row],[action]],Table24[[#This Row],[product family]],Table24[[#This Row],[detailed product]],Table24[[#This Row],[action attribute]])</f>
        <v>Client needs information about the not approved for an unspecified account</v>
      </c>
      <c r="L144" s="18" t="s">
        <v>140</v>
      </c>
      <c r="M144" s="18"/>
      <c r="N144" s="18"/>
      <c r="O144" s="18"/>
      <c r="P144" s="22" t="s">
        <v>212</v>
      </c>
      <c r="Q144" s="21" t="s">
        <v>193</v>
      </c>
    </row>
    <row r="145" spans="1:19" ht="16" x14ac:dyDescent="0.2">
      <c r="A145" s="1">
        <v>129107</v>
      </c>
      <c r="B145" s="2">
        <v>43741.473321759258</v>
      </c>
      <c r="C145" s="27" t="s">
        <v>6</v>
      </c>
      <c r="D145" s="27" t="s">
        <v>188</v>
      </c>
      <c r="E145" s="27" t="s">
        <v>188</v>
      </c>
      <c r="F145" s="27" t="s">
        <v>188</v>
      </c>
      <c r="G145" s="27" t="s">
        <v>664</v>
      </c>
      <c r="H145" s="27"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to clarify question</v>
      </c>
      <c r="I145" s="27"/>
      <c r="J145" s="27"/>
      <c r="K145" s="5" t="str">
        <f>getIntent(Table24[[#This Row],[action]],Table24[[#This Row],[product family]],Table24[[#This Row],[detailed product]],Table24[[#This Row],[action attribute]])</f>
        <v>About something unknown</v>
      </c>
      <c r="L145" t="s">
        <v>188</v>
      </c>
      <c r="M145" t="s">
        <v>188</v>
      </c>
      <c r="N145" t="s">
        <v>188</v>
      </c>
      <c r="O145" t="s">
        <v>188</v>
      </c>
      <c r="P145" t="s">
        <v>188</v>
      </c>
      <c r="Q145" t="s">
        <v>188</v>
      </c>
      <c r="R145" t="s">
        <v>533</v>
      </c>
    </row>
    <row r="146" spans="1:19" ht="32" x14ac:dyDescent="0.2">
      <c r="A146" s="1">
        <v>127286</v>
      </c>
      <c r="B146" s="2">
        <v>43741.315358796302</v>
      </c>
      <c r="C146" s="30" t="s">
        <v>84</v>
      </c>
      <c r="D146" s="42" t="s">
        <v>166</v>
      </c>
      <c r="E146" s="30" t="s">
        <v>188</v>
      </c>
      <c r="F146" s="30" t="s">
        <v>242</v>
      </c>
      <c r="G146" s="30" t="s">
        <v>502</v>
      </c>
      <c r="H146"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account because of update and needs status</v>
      </c>
      <c r="I146" s="30"/>
      <c r="J146" s="30"/>
      <c r="K146" s="5" t="str">
        <f>getIntent(Table24[[#This Row],[action]],Table24[[#This Row],[product family]],Table24[[#This Row],[detailed product]],Table24[[#This Row],[action attribute]])</f>
        <v>Client wants to check the not approved for an unspecified account</v>
      </c>
      <c r="L146" s="17" t="s">
        <v>140</v>
      </c>
      <c r="M146" s="17"/>
      <c r="N146" s="17"/>
      <c r="O146" s="17"/>
      <c r="P146" s="17" t="s">
        <v>192</v>
      </c>
      <c r="Q146" s="17" t="s">
        <v>193</v>
      </c>
    </row>
    <row r="147" spans="1:19" ht="32" x14ac:dyDescent="0.2">
      <c r="A147" s="1">
        <v>126454</v>
      </c>
      <c r="B147" s="2">
        <v>43741.134976851848</v>
      </c>
      <c r="C147" s="36" t="s">
        <v>25</v>
      </c>
      <c r="D147" s="36" t="s">
        <v>436</v>
      </c>
      <c r="E147" s="36" t="s">
        <v>618</v>
      </c>
      <c r="F147" s="36" t="s">
        <v>672</v>
      </c>
      <c r="G147" s="36" t="s">
        <v>502</v>
      </c>
      <c r="H147"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not received payment because of pending process and needs status</v>
      </c>
      <c r="I147" s="36"/>
      <c r="J147" s="36"/>
      <c r="K147" s="5" t="str">
        <f>getIntent(Table24[[#This Row],[action]],Table24[[#This Row],[product family]],Table24[[#This Row],[detailed product]],Table24[[#This Row],[action attribute]])</f>
        <v>Client wants to check the not retrieved for an unspecified payment</v>
      </c>
      <c r="L147" t="s">
        <v>182</v>
      </c>
      <c r="P147" t="s">
        <v>192</v>
      </c>
      <c r="Q147" t="s">
        <v>208</v>
      </c>
    </row>
    <row r="148" spans="1:19" ht="32" x14ac:dyDescent="0.2">
      <c r="A148" s="1">
        <v>127138</v>
      </c>
      <c r="B148" s="2">
        <v>43741.007569444453</v>
      </c>
      <c r="C148" s="29" t="s">
        <v>12</v>
      </c>
      <c r="D148" s="29" t="s">
        <v>436</v>
      </c>
      <c r="E148" s="29" t="s">
        <v>651</v>
      </c>
      <c r="F148" s="29" t="s">
        <v>188</v>
      </c>
      <c r="G148" s="29" t="s">
        <v>646</v>
      </c>
      <c r="H148" s="29"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wants to do check deposit payment and needs instructions</v>
      </c>
      <c r="I148" s="29"/>
      <c r="J148" s="29"/>
      <c r="K148" s="5" t="str">
        <f>getIntent(Table24[[#This Row],[action]],Table24[[#This Row],[product family]],Table24[[#This Row],[detailed product]],Table24[[#This Row],[action attribute]])</f>
        <v>Client needs information about his cash</v>
      </c>
      <c r="L148" s="17" t="s">
        <v>182</v>
      </c>
      <c r="M148" s="17" t="s">
        <v>233</v>
      </c>
      <c r="N148" s="17"/>
      <c r="O148" s="17"/>
      <c r="P148" s="17" t="s">
        <v>212</v>
      </c>
      <c r="Q148" s="17"/>
    </row>
    <row r="149" spans="1:19" ht="32" x14ac:dyDescent="0.2">
      <c r="A149" s="1">
        <v>135510</v>
      </c>
      <c r="B149" s="2">
        <v>43740.874791666669</v>
      </c>
      <c r="C149" s="36" t="s">
        <v>16</v>
      </c>
      <c r="D149" s="36" t="s">
        <v>436</v>
      </c>
      <c r="E149" s="36" t="s">
        <v>617</v>
      </c>
      <c r="F149" s="36" t="s">
        <v>188</v>
      </c>
      <c r="G149" s="36" t="s">
        <v>666</v>
      </c>
      <c r="H149" s="3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process time payment and needs information</v>
      </c>
      <c r="I149" s="36"/>
      <c r="J149" s="36"/>
      <c r="K149" s="5" t="str">
        <f>getIntent(Table24[[#This Row],[action]],Table24[[#This Row],[product family]],Table24[[#This Row],[detailed product]],Table24[[#This Row],[action attribute]])</f>
        <v>Client needs information about the time for an unspecified payment</v>
      </c>
      <c r="L149" t="s">
        <v>182</v>
      </c>
      <c r="P149" t="s">
        <v>212</v>
      </c>
      <c r="Q149" t="s">
        <v>541</v>
      </c>
      <c r="S149" t="s">
        <v>542</v>
      </c>
    </row>
    <row r="150" spans="1:19" ht="48" x14ac:dyDescent="0.2">
      <c r="A150" s="1">
        <v>135660</v>
      </c>
      <c r="B150" s="2">
        <v>43740.422083333331</v>
      </c>
      <c r="C150" s="30" t="s">
        <v>51</v>
      </c>
      <c r="D150" s="30" t="s">
        <v>166</v>
      </c>
      <c r="E150" s="30" t="s">
        <v>675</v>
      </c>
      <c r="F150" s="30" t="s">
        <v>672</v>
      </c>
      <c r="G150" s="30" t="s">
        <v>502</v>
      </c>
      <c r="H150" s="30"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awaits activation account because of pending process and needs status</v>
      </c>
      <c r="I150" s="41"/>
      <c r="J150" s="41"/>
      <c r="K150" s="5" t="str">
        <f>getIntent(Table24[[#This Row],[action]],Table24[[#This Row],[product family]],Table24[[#This Row],[detailed product]],Table24[[#This Row],[action attribute]])</f>
        <v>Client needs information about the not approved for an unspecified account</v>
      </c>
      <c r="L150" s="18" t="s">
        <v>140</v>
      </c>
      <c r="M150" s="18"/>
      <c r="N150" s="18"/>
      <c r="O150" s="18"/>
      <c r="P150" s="22" t="s">
        <v>212</v>
      </c>
      <c r="Q150" s="21" t="s">
        <v>193</v>
      </c>
    </row>
    <row r="151" spans="1:19" ht="16" x14ac:dyDescent="0.2">
      <c r="A151" s="1">
        <v>133919</v>
      </c>
      <c r="B151" s="2">
        <v>43740.286979166667</v>
      </c>
      <c r="C151" s="26" t="s">
        <v>34</v>
      </c>
      <c r="D151" s="26" t="s">
        <v>188</v>
      </c>
      <c r="E151" s="26" t="s">
        <v>188</v>
      </c>
      <c r="F151" s="26" t="s">
        <v>188</v>
      </c>
      <c r="G151" s="26" t="s">
        <v>667</v>
      </c>
      <c r="H151" s="26" t="str">
        <f>"client" &amp;IF(Table24[[#This Row],[what / issue / status]]="undefined",""," "&amp;Table24[[#This Row],[what / issue / status]])&amp;IF(Table24[[#This Row],[topic]]="undefined",""," "&amp;Table24[[#This Row],[topic]])&amp;IF(Table24[[#This Row],[why / cause of issue / reason contact]]="undefined",""," because of "&amp;Table24[[#This Row],[why / cause of issue / reason contact]])&amp;IF(Table24[[#This Row],[how / resolution]]="undefined",""," and needs "&amp;Table24[[#This Row],[how / resolution]])</f>
        <v>client and needs  a welcome reply</v>
      </c>
      <c r="I151" s="26"/>
      <c r="J151" s="26"/>
      <c r="K151" s="5" t="str">
        <f>getIntent(Table24[[#This Row],[action]],Table24[[#This Row],[product family]],Table24[[#This Row],[detailed product]],Table24[[#This Row],[action attribute]])</f>
        <v>About something unknown</v>
      </c>
      <c r="L151" t="s">
        <v>188</v>
      </c>
      <c r="P151" s="22" t="s">
        <v>188</v>
      </c>
      <c r="R151" t="s">
        <v>546</v>
      </c>
    </row>
  </sheetData>
  <pageMargins left="0.75" right="0.75" top="1" bottom="1" header="0.5" footer="0.5"/>
  <tableParts count="1">
    <tablePart r:id="rId1"/>
  </tableParts>
  <extLst>
    <ext xmlns:x14="http://schemas.microsoft.com/office/spreadsheetml/2009/9/main" uri="{CCE6A557-97BC-4b89-ADB6-D9C93CAAB3DF}">
      <x14:dataValidations xmlns:xm="http://schemas.microsoft.com/office/excel/2006/main" count="6">
        <x14:dataValidation type="list" allowBlank="1" showInputMessage="1" showErrorMessage="1" xr:uid="{81FC3C5B-19D8-AD49-A7C0-1E8E8C0709CB}">
          <x14:formula1>
            <xm:f>structure!$F:$F</xm:f>
          </x14:formula1>
          <xm:sqref>Q1:Q4 Q137:Q140 Q9:Q17 Q117:Q118 Q122:Q125 Q49 Q36 Q72:Q73 Q97:Q98 Q114:Q115 Q142:Q143 Q6:Q7 Q65:Q70 Q45:Q47 Q38:Q43 Q149:Q1048576 Q57:Q63 Q100 Q102 Q105:Q106 Q89:Q92 Q94 Q80:Q85 Q31:Q34 Q51:Q55 Q75:Q78 Q110:Q112 Q127:Q129 Q131:Q133 Q135 Q145 Q147 Q20:Q28</xm:sqref>
        </x14:dataValidation>
        <x14:dataValidation type="list" allowBlank="1" showInputMessage="1" showErrorMessage="1" xr:uid="{65CFFB7E-5CDA-504C-B6B5-095B292E4FD6}">
          <x14:formula1>
            <xm:f>structure!$E:$E</xm:f>
          </x14:formula1>
          <xm:sqref>P1:P4 P9:P17 P117:P118 P114:P115 P49 P45:P47 P6:P7 P21:P28 P131:P133 P38:P43 P139:P140 P51:P55 P97:P100 P102 P105:P107 P72:P78 P80:P85 P31:P36 P65:P70 P57:P63 P110:P112 P127:P129 P88:P94 P122:P125 P135:P137 P142:P145 P147 P149:P1048576</xm:sqref>
        </x14:dataValidation>
        <x14:dataValidation type="list" allowBlank="1" showInputMessage="1" showErrorMessage="1" xr:uid="{1C3870F9-965C-2B46-BD7F-D8046C86E1F3}">
          <x14:formula1>
            <xm:f>structure!$D:$D</xm:f>
          </x14:formula1>
          <xm:sqref>O1:O4 O137 O9:O17 O117:O118 O122:O125 O49 O36 O72:O73 O97:O98 O114:O115 O142:O143 O7 O21:O28 O45:O47 O38:O43 O139:O140 O57:O63 O100 O102 O105:O106 O89:O92 O94 O80:O85 O31:O34 O65:O70 O75:O78 O110:O112 O127:O129 O131:O133 O135 O149:O1048576 O145 O147 O51:O55</xm:sqref>
        </x14:dataValidation>
        <x14:dataValidation type="list" allowBlank="1" showInputMessage="1" showErrorMessage="1" xr:uid="{280E34B9-6AF1-AC4B-8CB8-4C3633C98081}">
          <x14:formula1>
            <xm:f>structure!$C:$C</xm:f>
          </x14:formula1>
          <xm:sqref>N1:N4 N137 N9:N17 N117:N118 N122:N125 N49 N36 N72:N73 N97:N98 N114:N115 N142:N143 N7 N21:N28 N45:N47 N38:N43 N89:N92 N57:N63 N100 N102 N105:N106 N75:N78 N94:N95 N80:N85 N31:N34 N65:N70 N51:N55 N110:N112 N127:N129 N131:N133 N135 N149:N1048576 N145 N147 N139:N140</xm:sqref>
        </x14:dataValidation>
        <x14:dataValidation type="list" allowBlank="1" showErrorMessage="1" xr:uid="{A1814C47-C608-B242-960C-8C72E919F3CA}">
          <x14:formula1>
            <xm:f>structure!$B:$B</xm:f>
          </x14:formula1>
          <xm:sqref>M1:M1048576</xm:sqref>
        </x14:dataValidation>
        <x14:dataValidation type="list" allowBlank="1" showInputMessage="1" showErrorMessage="1" xr:uid="{FD618602-14E7-1A4B-879C-B1511CFF2B2E}">
          <x14:formula1>
            <xm:f>structure!$A$2:$A$10</xm:f>
          </x14:formula1>
          <xm:sqref>N29:Q30 N44:Q44 N48:Q48 N50:Q50 P87 N116:Q116 N126:Q126 N141:Q141 Q18:Q19 Q99 N8:Q8 P5:Q5 N37:Q37 Q144 Q35 Q74 N101:Q101 N103:Q103 N120:Q120 L57:L63 L114:L118 L87:L94 L105:L106 L1:L55 L122:L129 L65:L70 L72:L78 L80:L85 L97:L103 L110:L112 L137 L131:L133 L135 L149:L1048576 L139:L145 L147 L120 N74:O74 N99:O99 N144:O144 N18:P20 N5:O6 N35:O35 N87:O88 Q87:Q88 N93:O93 Q93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E40D8-1048-C14C-BB6D-AC73261C5D3E}">
  <dimension ref="A3:B44"/>
  <sheetViews>
    <sheetView topLeftCell="A17" zoomScale="136" workbookViewId="0">
      <selection activeCell="A11" sqref="A11"/>
    </sheetView>
  </sheetViews>
  <sheetFormatPr baseColWidth="10" defaultRowHeight="15" x14ac:dyDescent="0.2"/>
  <cols>
    <col min="1" max="1" width="34.83203125" bestFit="1" customWidth="1"/>
    <col min="2" max="2" width="16.5" bestFit="1" customWidth="1"/>
    <col min="3" max="3" width="23.5" bestFit="1" customWidth="1"/>
    <col min="4" max="4" width="7.33203125" bestFit="1" customWidth="1"/>
    <col min="5" max="5" width="4.5" bestFit="1" customWidth="1"/>
    <col min="6" max="6" width="8" bestFit="1" customWidth="1"/>
    <col min="7" max="7" width="9.1640625" bestFit="1" customWidth="1"/>
    <col min="8" max="8" width="8.33203125" bestFit="1" customWidth="1"/>
    <col min="9" max="9" width="6.33203125" bestFit="1" customWidth="1"/>
    <col min="10" max="10" width="10" bestFit="1" customWidth="1"/>
    <col min="11" max="11" width="16.5" bestFit="1" customWidth="1"/>
    <col min="12" max="12" width="11" bestFit="1" customWidth="1"/>
    <col min="13" max="13" width="16.5" bestFit="1" customWidth="1"/>
    <col min="14" max="14" width="11" bestFit="1" customWidth="1"/>
    <col min="15" max="15" width="16.5" bestFit="1" customWidth="1"/>
    <col min="16" max="16" width="11" bestFit="1" customWidth="1"/>
    <col min="17" max="17" width="16.5" bestFit="1" customWidth="1"/>
    <col min="18" max="18" width="15.1640625" bestFit="1" customWidth="1"/>
    <col min="19" max="19" width="20.6640625" bestFit="1" customWidth="1"/>
    <col min="20" max="20" width="15" bestFit="1" customWidth="1"/>
    <col min="21" max="21" width="12.1640625" bestFit="1" customWidth="1"/>
    <col min="22" max="22" width="10.83203125" bestFit="1" customWidth="1"/>
    <col min="23" max="23" width="14.1640625" bestFit="1" customWidth="1"/>
    <col min="24" max="24" width="23.5" bestFit="1" customWidth="1"/>
    <col min="25" max="25" width="15" bestFit="1" customWidth="1"/>
    <col min="26" max="26" width="13.33203125" bestFit="1" customWidth="1"/>
    <col min="27" max="27" width="14.1640625" bestFit="1" customWidth="1"/>
    <col min="28" max="28" width="12.5" bestFit="1" customWidth="1"/>
    <col min="29" max="29" width="8" bestFit="1" customWidth="1"/>
    <col min="30" max="30" width="10.5" bestFit="1" customWidth="1"/>
    <col min="31" max="31" width="10" bestFit="1" customWidth="1"/>
    <col min="32" max="32" width="10.5" bestFit="1" customWidth="1"/>
    <col min="33" max="33" width="10" bestFit="1" customWidth="1"/>
  </cols>
  <sheetData>
    <row r="3" spans="1:2" x14ac:dyDescent="0.2">
      <c r="A3" s="11" t="s">
        <v>556</v>
      </c>
      <c r="B3" t="s">
        <v>668</v>
      </c>
    </row>
    <row r="4" spans="1:2" x14ac:dyDescent="0.2">
      <c r="A4" s="12" t="s">
        <v>645</v>
      </c>
      <c r="B4" s="15">
        <v>1</v>
      </c>
    </row>
    <row r="5" spans="1:2" x14ac:dyDescent="0.2">
      <c r="A5" s="12" t="s">
        <v>643</v>
      </c>
      <c r="B5" s="15">
        <v>1</v>
      </c>
    </row>
    <row r="6" spans="1:2" x14ac:dyDescent="0.2">
      <c r="A6" s="12" t="s">
        <v>661</v>
      </c>
      <c r="B6" s="15">
        <v>2</v>
      </c>
    </row>
    <row r="7" spans="1:2" x14ac:dyDescent="0.2">
      <c r="A7" s="12" t="s">
        <v>642</v>
      </c>
      <c r="B7" s="15">
        <v>7</v>
      </c>
    </row>
    <row r="8" spans="1:2" x14ac:dyDescent="0.2">
      <c r="A8" s="12" t="s">
        <v>644</v>
      </c>
      <c r="B8" s="15">
        <v>1</v>
      </c>
    </row>
    <row r="9" spans="1:2" x14ac:dyDescent="0.2">
      <c r="A9" s="12" t="s">
        <v>641</v>
      </c>
      <c r="B9" s="15">
        <v>1</v>
      </c>
    </row>
    <row r="10" spans="1:2" x14ac:dyDescent="0.2">
      <c r="A10" s="12" t="s">
        <v>659</v>
      </c>
      <c r="B10" s="15">
        <v>2</v>
      </c>
    </row>
    <row r="11" spans="1:2" x14ac:dyDescent="0.2">
      <c r="A11" s="12" t="s">
        <v>662</v>
      </c>
      <c r="B11" s="15">
        <v>2</v>
      </c>
    </row>
    <row r="12" spans="1:2" x14ac:dyDescent="0.2">
      <c r="A12" s="12" t="s">
        <v>629</v>
      </c>
      <c r="B12" s="15">
        <v>2</v>
      </c>
    </row>
    <row r="13" spans="1:2" x14ac:dyDescent="0.2">
      <c r="A13" s="12" t="s">
        <v>633</v>
      </c>
      <c r="B13" s="15">
        <v>1</v>
      </c>
    </row>
    <row r="14" spans="1:2" x14ac:dyDescent="0.2">
      <c r="A14" s="12" t="s">
        <v>632</v>
      </c>
      <c r="B14" s="15">
        <v>1</v>
      </c>
    </row>
    <row r="15" spans="1:2" x14ac:dyDescent="0.2">
      <c r="A15" s="12" t="s">
        <v>634</v>
      </c>
      <c r="B15" s="15">
        <v>1</v>
      </c>
    </row>
    <row r="16" spans="1:2" x14ac:dyDescent="0.2">
      <c r="A16" s="12" t="s">
        <v>635</v>
      </c>
      <c r="B16" s="15">
        <v>1</v>
      </c>
    </row>
    <row r="17" spans="1:2" x14ac:dyDescent="0.2">
      <c r="A17" s="12" t="s">
        <v>636</v>
      </c>
      <c r="B17" s="15">
        <v>1</v>
      </c>
    </row>
    <row r="18" spans="1:2" x14ac:dyDescent="0.2">
      <c r="A18" s="12" t="s">
        <v>618</v>
      </c>
      <c r="B18" s="15">
        <v>13</v>
      </c>
    </row>
    <row r="19" spans="1:2" x14ac:dyDescent="0.2">
      <c r="A19" s="12" t="s">
        <v>617</v>
      </c>
      <c r="B19" s="15">
        <v>5</v>
      </c>
    </row>
    <row r="20" spans="1:2" x14ac:dyDescent="0.2">
      <c r="A20" s="12" t="s">
        <v>621</v>
      </c>
      <c r="B20" s="15">
        <v>1</v>
      </c>
    </row>
    <row r="21" spans="1:2" x14ac:dyDescent="0.2">
      <c r="A21" s="12" t="s">
        <v>626</v>
      </c>
      <c r="B21" s="15">
        <v>1</v>
      </c>
    </row>
    <row r="22" spans="1:2" x14ac:dyDescent="0.2">
      <c r="A22" s="12" t="s">
        <v>660</v>
      </c>
      <c r="B22" s="15">
        <v>1</v>
      </c>
    </row>
    <row r="23" spans="1:2" x14ac:dyDescent="0.2">
      <c r="A23" s="12" t="s">
        <v>188</v>
      </c>
      <c r="B23" s="15">
        <v>58</v>
      </c>
    </row>
    <row r="24" spans="1:2" x14ac:dyDescent="0.2">
      <c r="A24" s="12" t="s">
        <v>630</v>
      </c>
      <c r="B24" s="15">
        <v>1</v>
      </c>
    </row>
    <row r="25" spans="1:2" x14ac:dyDescent="0.2">
      <c r="A25" s="12" t="s">
        <v>631</v>
      </c>
      <c r="B25" s="15">
        <v>1</v>
      </c>
    </row>
    <row r="26" spans="1:2" x14ac:dyDescent="0.2">
      <c r="A26" s="12" t="s">
        <v>650</v>
      </c>
      <c r="B26" s="15">
        <v>1</v>
      </c>
    </row>
    <row r="27" spans="1:2" x14ac:dyDescent="0.2">
      <c r="A27" s="12" t="s">
        <v>655</v>
      </c>
      <c r="B27" s="15">
        <v>1</v>
      </c>
    </row>
    <row r="28" spans="1:2" x14ac:dyDescent="0.2">
      <c r="A28" s="12" t="s">
        <v>649</v>
      </c>
      <c r="B28" s="15">
        <v>3</v>
      </c>
    </row>
    <row r="29" spans="1:2" x14ac:dyDescent="0.2">
      <c r="A29" s="12" t="s">
        <v>647</v>
      </c>
      <c r="B29" s="15">
        <v>2</v>
      </c>
    </row>
    <row r="30" spans="1:2" x14ac:dyDescent="0.2">
      <c r="A30" s="12" t="s">
        <v>653</v>
      </c>
      <c r="B30" s="15">
        <v>1</v>
      </c>
    </row>
    <row r="31" spans="1:2" x14ac:dyDescent="0.2">
      <c r="A31" s="12" t="s">
        <v>651</v>
      </c>
      <c r="B31" s="15">
        <v>1</v>
      </c>
    </row>
    <row r="32" spans="1:2" x14ac:dyDescent="0.2">
      <c r="A32" s="12" t="s">
        <v>656</v>
      </c>
      <c r="B32" s="15">
        <v>1</v>
      </c>
    </row>
    <row r="33" spans="1:2" x14ac:dyDescent="0.2">
      <c r="A33" s="12" t="s">
        <v>657</v>
      </c>
      <c r="B33" s="15">
        <v>1</v>
      </c>
    </row>
    <row r="34" spans="1:2" x14ac:dyDescent="0.2">
      <c r="A34" s="12" t="s">
        <v>658</v>
      </c>
      <c r="B34" s="15">
        <v>1</v>
      </c>
    </row>
    <row r="35" spans="1:2" x14ac:dyDescent="0.2">
      <c r="A35" s="12" t="s">
        <v>648</v>
      </c>
      <c r="B35" s="15">
        <v>1</v>
      </c>
    </row>
    <row r="36" spans="1:2" x14ac:dyDescent="0.2">
      <c r="A36" s="12" t="s">
        <v>652</v>
      </c>
      <c r="B36" s="15">
        <v>1</v>
      </c>
    </row>
    <row r="37" spans="1:2" x14ac:dyDescent="0.2">
      <c r="A37" s="12" t="s">
        <v>654</v>
      </c>
      <c r="B37" s="15">
        <v>1</v>
      </c>
    </row>
    <row r="38" spans="1:2" x14ac:dyDescent="0.2">
      <c r="A38" s="12" t="s">
        <v>628</v>
      </c>
      <c r="B38" s="15">
        <v>4</v>
      </c>
    </row>
    <row r="39" spans="1:2" x14ac:dyDescent="0.2">
      <c r="A39" s="12" t="s">
        <v>557</v>
      </c>
      <c r="B39" s="15"/>
    </row>
    <row r="40" spans="1:2" x14ac:dyDescent="0.2">
      <c r="A40" s="12" t="s">
        <v>675</v>
      </c>
      <c r="B40" s="15">
        <v>15</v>
      </c>
    </row>
    <row r="41" spans="1:2" x14ac:dyDescent="0.2">
      <c r="A41" s="12" t="s">
        <v>669</v>
      </c>
      <c r="B41" s="15">
        <v>9</v>
      </c>
    </row>
    <row r="42" spans="1:2" x14ac:dyDescent="0.2">
      <c r="A42" s="12" t="s">
        <v>674</v>
      </c>
      <c r="B42" s="15">
        <v>1</v>
      </c>
    </row>
    <row r="43" spans="1:2" x14ac:dyDescent="0.2">
      <c r="A43" s="12" t="s">
        <v>677</v>
      </c>
      <c r="B43" s="15">
        <v>1</v>
      </c>
    </row>
    <row r="44" spans="1:2" x14ac:dyDescent="0.2">
      <c r="A44" s="12" t="s">
        <v>558</v>
      </c>
      <c r="B44" s="15">
        <v>150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9866C-C121-974C-B25D-1B54E0CFDC24}">
  <dimension ref="A1:L15"/>
  <sheetViews>
    <sheetView tabSelected="1" workbookViewId="0">
      <selection activeCell="D22" sqref="D22"/>
    </sheetView>
  </sheetViews>
  <sheetFormatPr baseColWidth="10" defaultRowHeight="15" x14ac:dyDescent="0.2"/>
  <cols>
    <col min="2" max="2" width="11.83203125" customWidth="1"/>
    <col min="3" max="3" width="55.1640625" customWidth="1"/>
    <col min="4" max="4" width="14.6640625" customWidth="1"/>
    <col min="5" max="5" width="16.5" customWidth="1"/>
    <col min="6" max="6" width="17" customWidth="1"/>
    <col min="9" max="9" width="15.6640625" customWidth="1"/>
    <col min="10" max="10" width="11" customWidth="1"/>
    <col min="11" max="11" width="12.5" customWidth="1"/>
  </cols>
  <sheetData>
    <row r="1" spans="1:12" x14ac:dyDescent="0.2">
      <c r="A1" t="s">
        <v>529</v>
      </c>
      <c r="B1" t="s">
        <v>0</v>
      </c>
      <c r="C1" t="s">
        <v>1</v>
      </c>
      <c r="D1" t="s">
        <v>134</v>
      </c>
      <c r="E1" t="s">
        <v>135</v>
      </c>
      <c r="F1" t="s">
        <v>136</v>
      </c>
      <c r="G1" t="s">
        <v>137</v>
      </c>
      <c r="H1" t="s">
        <v>138</v>
      </c>
      <c r="I1" t="s">
        <v>139</v>
      </c>
      <c r="J1" t="s">
        <v>531</v>
      </c>
      <c r="K1" t="s">
        <v>537</v>
      </c>
      <c r="L1" t="s">
        <v>568</v>
      </c>
    </row>
    <row r="2" spans="1:12" x14ac:dyDescent="0.2">
      <c r="A2">
        <v>126473</v>
      </c>
      <c r="B2" s="43">
        <v>43741.66878472222</v>
      </c>
      <c r="C2" t="s">
        <v>132</v>
      </c>
      <c r="D2" t="s">
        <v>140</v>
      </c>
      <c r="H2" t="s">
        <v>192</v>
      </c>
      <c r="I2" t="s">
        <v>193</v>
      </c>
      <c r="L2" t="s">
        <v>593</v>
      </c>
    </row>
    <row r="3" spans="1:12" x14ac:dyDescent="0.2">
      <c r="A3">
        <v>182879</v>
      </c>
      <c r="B3" s="43">
        <v>43762.213865740741</v>
      </c>
      <c r="C3" t="s">
        <v>129</v>
      </c>
      <c r="D3" t="s">
        <v>140</v>
      </c>
      <c r="H3" t="s">
        <v>192</v>
      </c>
      <c r="I3" t="s">
        <v>193</v>
      </c>
      <c r="L3" t="s">
        <v>593</v>
      </c>
    </row>
    <row r="4" spans="1:12" x14ac:dyDescent="0.2">
      <c r="A4">
        <v>155805</v>
      </c>
      <c r="B4" s="43">
        <v>43748.581574074073</v>
      </c>
      <c r="C4" t="s">
        <v>119</v>
      </c>
      <c r="D4" t="s">
        <v>140</v>
      </c>
      <c r="H4" t="s">
        <v>192</v>
      </c>
      <c r="I4" t="s">
        <v>193</v>
      </c>
      <c r="L4" t="s">
        <v>593</v>
      </c>
    </row>
    <row r="5" spans="1:12" x14ac:dyDescent="0.2">
      <c r="A5">
        <v>141635</v>
      </c>
      <c r="B5" s="43">
        <v>43765.579652777778</v>
      </c>
      <c r="C5" t="s">
        <v>109</v>
      </c>
      <c r="D5" t="s">
        <v>140</v>
      </c>
      <c r="H5" t="s">
        <v>192</v>
      </c>
      <c r="I5" t="s">
        <v>193</v>
      </c>
      <c r="L5" t="s">
        <v>593</v>
      </c>
    </row>
    <row r="6" spans="1:12" x14ac:dyDescent="0.2">
      <c r="A6">
        <v>127286</v>
      </c>
      <c r="B6" s="43">
        <v>43741.315358796295</v>
      </c>
      <c r="C6" t="s">
        <v>84</v>
      </c>
      <c r="D6" t="s">
        <v>140</v>
      </c>
      <c r="H6" t="s">
        <v>192</v>
      </c>
      <c r="I6" t="s">
        <v>193</v>
      </c>
      <c r="L6" t="s">
        <v>593</v>
      </c>
    </row>
    <row r="7" spans="1:12" x14ac:dyDescent="0.2">
      <c r="A7">
        <v>116606</v>
      </c>
      <c r="B7" s="43">
        <v>43772.583541666667</v>
      </c>
      <c r="C7" t="s">
        <v>69</v>
      </c>
      <c r="D7" t="s">
        <v>140</v>
      </c>
      <c r="H7" t="s">
        <v>192</v>
      </c>
      <c r="I7" t="s">
        <v>193</v>
      </c>
      <c r="L7" t="s">
        <v>593</v>
      </c>
    </row>
    <row r="8" spans="1:12" x14ac:dyDescent="0.2">
      <c r="A8">
        <v>121835</v>
      </c>
      <c r="B8" s="43">
        <v>43774.277337962965</v>
      </c>
      <c r="C8" t="s">
        <v>68</v>
      </c>
      <c r="D8" t="s">
        <v>140</v>
      </c>
      <c r="H8" t="s">
        <v>192</v>
      </c>
      <c r="I8" t="s">
        <v>193</v>
      </c>
      <c r="L8" t="s">
        <v>593</v>
      </c>
    </row>
    <row r="9" spans="1:12" x14ac:dyDescent="0.2">
      <c r="A9">
        <v>135660</v>
      </c>
      <c r="B9" s="43">
        <v>43740.422083333331</v>
      </c>
      <c r="C9" t="s">
        <v>51</v>
      </c>
      <c r="D9" t="s">
        <v>140</v>
      </c>
      <c r="H9" t="s">
        <v>192</v>
      </c>
      <c r="I9" t="s">
        <v>193</v>
      </c>
      <c r="L9" t="s">
        <v>593</v>
      </c>
    </row>
    <row r="10" spans="1:12" x14ac:dyDescent="0.2">
      <c r="A10">
        <v>168726</v>
      </c>
      <c r="B10" s="43">
        <v>43747.545567129629</v>
      </c>
      <c r="C10" t="s">
        <v>49</v>
      </c>
      <c r="D10" t="s">
        <v>140</v>
      </c>
      <c r="H10" t="s">
        <v>192</v>
      </c>
      <c r="I10" t="s">
        <v>193</v>
      </c>
      <c r="L10" t="s">
        <v>593</v>
      </c>
    </row>
    <row r="11" spans="1:12" x14ac:dyDescent="0.2">
      <c r="A11">
        <v>117540</v>
      </c>
      <c r="B11" s="43">
        <v>43773.253113425926</v>
      </c>
      <c r="C11" t="s">
        <v>37</v>
      </c>
      <c r="D11" t="s">
        <v>140</v>
      </c>
      <c r="H11" t="s">
        <v>192</v>
      </c>
      <c r="I11" t="s">
        <v>193</v>
      </c>
      <c r="L11" t="s">
        <v>593</v>
      </c>
    </row>
    <row r="12" spans="1:12" x14ac:dyDescent="0.2">
      <c r="A12">
        <v>185590</v>
      </c>
      <c r="B12" s="43">
        <v>43761.102129629631</v>
      </c>
      <c r="C12" t="s">
        <v>32</v>
      </c>
      <c r="D12" t="s">
        <v>140</v>
      </c>
      <c r="H12" t="s">
        <v>192</v>
      </c>
      <c r="I12" t="s">
        <v>193</v>
      </c>
      <c r="L12" t="s">
        <v>593</v>
      </c>
    </row>
    <row r="13" spans="1:12" x14ac:dyDescent="0.2">
      <c r="A13">
        <v>187556</v>
      </c>
      <c r="B13" s="43">
        <v>43753.233726851853</v>
      </c>
      <c r="C13" t="s">
        <v>24</v>
      </c>
      <c r="D13" t="s">
        <v>140</v>
      </c>
      <c r="H13" t="s">
        <v>192</v>
      </c>
      <c r="I13" t="s">
        <v>193</v>
      </c>
      <c r="L13" t="s">
        <v>593</v>
      </c>
    </row>
    <row r="14" spans="1:12" x14ac:dyDescent="0.2">
      <c r="A14">
        <v>180591</v>
      </c>
      <c r="B14" s="43">
        <v>43743.933252314811</v>
      </c>
      <c r="C14" t="s">
        <v>9</v>
      </c>
      <c r="D14" t="s">
        <v>140</v>
      </c>
      <c r="H14" t="s">
        <v>192</v>
      </c>
      <c r="I14" t="s">
        <v>193</v>
      </c>
      <c r="L14" t="s">
        <v>593</v>
      </c>
    </row>
    <row r="15" spans="1:12" x14ac:dyDescent="0.2">
      <c r="A15">
        <v>136553</v>
      </c>
      <c r="B15" s="43">
        <v>43758.778136574074</v>
      </c>
      <c r="C15" t="s">
        <v>4</v>
      </c>
      <c r="D15" t="s">
        <v>140</v>
      </c>
      <c r="H15" t="s">
        <v>192</v>
      </c>
      <c r="I15" t="s">
        <v>193</v>
      </c>
      <c r="L15" t="s">
        <v>593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33EFB-4860-D045-A01E-4A0AE71E3917}">
  <sheetPr codeName="Sheet2"/>
  <dimension ref="A3:M131"/>
  <sheetViews>
    <sheetView workbookViewId="0">
      <selection activeCell="B19" sqref="B19"/>
    </sheetView>
  </sheetViews>
  <sheetFormatPr baseColWidth="10" defaultRowHeight="15" x14ac:dyDescent="0.2"/>
  <cols>
    <col min="1" max="1" width="19.33203125" bestFit="1" customWidth="1"/>
    <col min="2" max="2" width="14.83203125" bestFit="1" customWidth="1"/>
    <col min="3" max="3" width="5.1640625" bestFit="1" customWidth="1"/>
    <col min="4" max="4" width="8.6640625" bestFit="1" customWidth="1"/>
    <col min="5" max="5" width="9.1640625" bestFit="1" customWidth="1"/>
    <col min="6" max="6" width="6.33203125" bestFit="1" customWidth="1"/>
    <col min="7" max="7" width="10" bestFit="1" customWidth="1"/>
    <col min="8" max="8" width="19.33203125" customWidth="1"/>
    <col min="9" max="9" width="21.83203125" bestFit="1" customWidth="1"/>
    <col min="12" max="12" width="60.1640625" bestFit="1" customWidth="1"/>
    <col min="13" max="13" width="12.83203125" bestFit="1" customWidth="1"/>
  </cols>
  <sheetData>
    <row r="3" spans="1:13" x14ac:dyDescent="0.2">
      <c r="A3" s="11" t="s">
        <v>567</v>
      </c>
      <c r="B3" s="11" t="s">
        <v>600</v>
      </c>
    </row>
    <row r="4" spans="1:13" x14ac:dyDescent="0.2">
      <c r="A4" s="11" t="s">
        <v>556</v>
      </c>
      <c r="B4" t="s">
        <v>140</v>
      </c>
      <c r="C4" t="s">
        <v>170</v>
      </c>
      <c r="D4" t="s">
        <v>182</v>
      </c>
      <c r="E4" t="s">
        <v>188</v>
      </c>
      <c r="F4" t="s">
        <v>557</v>
      </c>
      <c r="G4" t="s">
        <v>558</v>
      </c>
      <c r="H4" s="15"/>
      <c r="L4" s="11" t="s">
        <v>556</v>
      </c>
      <c r="M4" t="s">
        <v>569</v>
      </c>
    </row>
    <row r="5" spans="1:13" x14ac:dyDescent="0.2">
      <c r="A5" s="12" t="s">
        <v>144</v>
      </c>
      <c r="B5" s="15">
        <v>1</v>
      </c>
      <c r="C5" s="15"/>
      <c r="D5" s="15"/>
      <c r="E5" s="15"/>
      <c r="F5" s="15"/>
      <c r="G5" s="15">
        <v>1</v>
      </c>
      <c r="H5" s="15"/>
      <c r="L5" s="12" t="s">
        <v>570</v>
      </c>
      <c r="M5" s="15">
        <v>57</v>
      </c>
    </row>
    <row r="6" spans="1:13" x14ac:dyDescent="0.2">
      <c r="A6" s="13" t="s">
        <v>557</v>
      </c>
      <c r="B6" s="15">
        <v>1</v>
      </c>
      <c r="C6" s="15"/>
      <c r="D6" s="15"/>
      <c r="E6" s="15"/>
      <c r="F6" s="15"/>
      <c r="G6" s="15">
        <v>1</v>
      </c>
      <c r="H6" s="15"/>
      <c r="L6" s="12" t="s">
        <v>571</v>
      </c>
      <c r="M6" s="15">
        <v>5</v>
      </c>
    </row>
    <row r="7" spans="1:13" x14ac:dyDescent="0.2">
      <c r="A7" s="14" t="s">
        <v>557</v>
      </c>
      <c r="B7" s="15">
        <v>1</v>
      </c>
      <c r="C7" s="15"/>
      <c r="D7" s="15"/>
      <c r="E7" s="15"/>
      <c r="F7" s="15"/>
      <c r="G7" s="15">
        <v>1</v>
      </c>
      <c r="H7" s="15"/>
      <c r="L7" s="12" t="s">
        <v>572</v>
      </c>
      <c r="M7" s="15">
        <v>1</v>
      </c>
    </row>
    <row r="8" spans="1:13" x14ac:dyDescent="0.2">
      <c r="A8" s="12" t="s">
        <v>174</v>
      </c>
      <c r="B8" s="15"/>
      <c r="C8" s="15"/>
      <c r="D8" s="15"/>
      <c r="E8" s="15">
        <v>3</v>
      </c>
      <c r="F8" s="15"/>
      <c r="G8" s="15">
        <v>3</v>
      </c>
      <c r="H8" s="15"/>
      <c r="L8" s="12" t="s">
        <v>573</v>
      </c>
      <c r="M8" s="15">
        <v>1</v>
      </c>
    </row>
    <row r="9" spans="1:13" x14ac:dyDescent="0.2">
      <c r="A9" s="13" t="s">
        <v>557</v>
      </c>
      <c r="B9" s="15"/>
      <c r="C9" s="15"/>
      <c r="D9" s="15"/>
      <c r="E9" s="15">
        <v>3</v>
      </c>
      <c r="F9" s="15"/>
      <c r="G9" s="15">
        <v>3</v>
      </c>
      <c r="H9" s="15"/>
      <c r="L9" s="12" t="s">
        <v>574</v>
      </c>
      <c r="M9" s="15">
        <v>1</v>
      </c>
    </row>
    <row r="10" spans="1:13" x14ac:dyDescent="0.2">
      <c r="A10" s="14" t="s">
        <v>557</v>
      </c>
      <c r="B10" s="15"/>
      <c r="C10" s="15"/>
      <c r="D10" s="15"/>
      <c r="E10" s="15">
        <v>3</v>
      </c>
      <c r="F10" s="15"/>
      <c r="G10" s="15">
        <v>3</v>
      </c>
      <c r="H10" s="15"/>
      <c r="L10" s="12" t="s">
        <v>575</v>
      </c>
      <c r="M10" s="15">
        <v>2</v>
      </c>
    </row>
    <row r="11" spans="1:13" x14ac:dyDescent="0.2">
      <c r="A11" s="12" t="s">
        <v>186</v>
      </c>
      <c r="B11" s="15"/>
      <c r="C11" s="15"/>
      <c r="D11" s="15"/>
      <c r="E11" s="15">
        <v>1</v>
      </c>
      <c r="F11" s="15"/>
      <c r="G11" s="15">
        <v>1</v>
      </c>
      <c r="H11" s="15"/>
      <c r="L11" s="12" t="s">
        <v>576</v>
      </c>
      <c r="M11" s="15">
        <v>1</v>
      </c>
    </row>
    <row r="12" spans="1:13" x14ac:dyDescent="0.2">
      <c r="A12" s="13" t="s">
        <v>557</v>
      </c>
      <c r="B12" s="15"/>
      <c r="C12" s="15"/>
      <c r="D12" s="15"/>
      <c r="E12" s="15">
        <v>1</v>
      </c>
      <c r="F12" s="15"/>
      <c r="G12" s="15">
        <v>1</v>
      </c>
      <c r="H12" s="15"/>
      <c r="L12" s="12" t="s">
        <v>577</v>
      </c>
      <c r="M12" s="15">
        <v>8</v>
      </c>
    </row>
    <row r="13" spans="1:13" x14ac:dyDescent="0.2">
      <c r="A13" s="14" t="s">
        <v>557</v>
      </c>
      <c r="B13" s="15"/>
      <c r="C13" s="15"/>
      <c r="D13" s="15"/>
      <c r="E13" s="15">
        <v>1</v>
      </c>
      <c r="F13" s="15"/>
      <c r="G13" s="15">
        <v>1</v>
      </c>
      <c r="H13" s="15"/>
      <c r="L13" s="12" t="s">
        <v>578</v>
      </c>
      <c r="M13" s="15">
        <v>1</v>
      </c>
    </row>
    <row r="14" spans="1:13" x14ac:dyDescent="0.2">
      <c r="A14" s="12" t="s">
        <v>192</v>
      </c>
      <c r="B14" s="15">
        <v>17</v>
      </c>
      <c r="C14" s="15"/>
      <c r="D14" s="15">
        <v>19</v>
      </c>
      <c r="E14" s="15">
        <v>9</v>
      </c>
      <c r="F14" s="15"/>
      <c r="G14" s="15">
        <v>45</v>
      </c>
      <c r="H14" s="15"/>
      <c r="L14" s="12" t="s">
        <v>579</v>
      </c>
      <c r="M14" s="15">
        <v>8</v>
      </c>
    </row>
    <row r="15" spans="1:13" x14ac:dyDescent="0.2">
      <c r="A15" s="13" t="s">
        <v>539</v>
      </c>
      <c r="B15" s="15">
        <v>1</v>
      </c>
      <c r="C15" s="15"/>
      <c r="D15" s="15"/>
      <c r="E15" s="15"/>
      <c r="F15" s="15"/>
      <c r="G15" s="15">
        <v>1</v>
      </c>
      <c r="H15" s="15"/>
      <c r="L15" s="12" t="s">
        <v>580</v>
      </c>
      <c r="M15" s="15">
        <v>1</v>
      </c>
    </row>
    <row r="16" spans="1:13" x14ac:dyDescent="0.2">
      <c r="A16" s="14" t="s">
        <v>557</v>
      </c>
      <c r="B16" s="15">
        <v>1</v>
      </c>
      <c r="C16" s="15"/>
      <c r="D16" s="15"/>
      <c r="E16" s="15"/>
      <c r="F16" s="15"/>
      <c r="G16" s="15">
        <v>1</v>
      </c>
      <c r="H16" s="15"/>
      <c r="L16" s="12" t="s">
        <v>581</v>
      </c>
      <c r="M16" s="15">
        <v>9</v>
      </c>
    </row>
    <row r="17" spans="1:13" x14ac:dyDescent="0.2">
      <c r="A17" s="13" t="s">
        <v>548</v>
      </c>
      <c r="B17" s="15"/>
      <c r="C17" s="15"/>
      <c r="D17" s="15"/>
      <c r="E17" s="15">
        <v>1</v>
      </c>
      <c r="F17" s="15"/>
      <c r="G17" s="15">
        <v>1</v>
      </c>
      <c r="H17" s="15"/>
      <c r="L17" s="12" t="s">
        <v>582</v>
      </c>
      <c r="M17" s="15">
        <v>2</v>
      </c>
    </row>
    <row r="18" spans="1:13" x14ac:dyDescent="0.2">
      <c r="A18" s="14" t="s">
        <v>557</v>
      </c>
      <c r="B18" s="15"/>
      <c r="C18" s="15"/>
      <c r="D18" s="15"/>
      <c r="E18" s="15">
        <v>1</v>
      </c>
      <c r="F18" s="15"/>
      <c r="G18" s="15">
        <v>1</v>
      </c>
      <c r="H18" s="15"/>
      <c r="L18" s="12" t="s">
        <v>583</v>
      </c>
      <c r="M18" s="15">
        <v>1</v>
      </c>
    </row>
    <row r="19" spans="1:13" x14ac:dyDescent="0.2">
      <c r="A19" s="13" t="s">
        <v>193</v>
      </c>
      <c r="B19" s="15">
        <v>14</v>
      </c>
      <c r="C19" s="15"/>
      <c r="D19" s="15"/>
      <c r="E19" s="15">
        <v>2</v>
      </c>
      <c r="F19" s="15"/>
      <c r="G19" s="15">
        <v>16</v>
      </c>
      <c r="H19" s="15"/>
      <c r="L19" s="12" t="s">
        <v>584</v>
      </c>
      <c r="M19" s="15">
        <v>1</v>
      </c>
    </row>
    <row r="20" spans="1:13" x14ac:dyDescent="0.2">
      <c r="A20" s="14" t="s">
        <v>557</v>
      </c>
      <c r="B20" s="15">
        <v>14</v>
      </c>
      <c r="C20" s="15"/>
      <c r="D20" s="15"/>
      <c r="E20" s="15">
        <v>2</v>
      </c>
      <c r="F20" s="15"/>
      <c r="G20" s="15">
        <v>16</v>
      </c>
      <c r="H20" s="15"/>
      <c r="L20" s="12" t="s">
        <v>585</v>
      </c>
      <c r="M20" s="15">
        <v>2</v>
      </c>
    </row>
    <row r="21" spans="1:13" x14ac:dyDescent="0.2">
      <c r="A21" s="13" t="s">
        <v>208</v>
      </c>
      <c r="B21" s="15"/>
      <c r="C21" s="15"/>
      <c r="D21" s="15">
        <v>17</v>
      </c>
      <c r="E21" s="15">
        <v>1</v>
      </c>
      <c r="F21" s="15"/>
      <c r="G21" s="15">
        <v>18</v>
      </c>
      <c r="H21" s="15"/>
      <c r="L21" s="12" t="s">
        <v>586</v>
      </c>
      <c r="M21" s="15">
        <v>3</v>
      </c>
    </row>
    <row r="22" spans="1:13" x14ac:dyDescent="0.2">
      <c r="A22" s="14" t="s">
        <v>270</v>
      </c>
      <c r="B22" s="15"/>
      <c r="C22" s="15"/>
      <c r="D22" s="15"/>
      <c r="E22" s="15">
        <v>1</v>
      </c>
      <c r="F22" s="15"/>
      <c r="G22" s="15">
        <v>1</v>
      </c>
      <c r="H22" s="15"/>
      <c r="L22" s="12" t="s">
        <v>587</v>
      </c>
      <c r="M22" s="15">
        <v>1</v>
      </c>
    </row>
    <row r="23" spans="1:13" x14ac:dyDescent="0.2">
      <c r="A23" s="14" t="s">
        <v>557</v>
      </c>
      <c r="B23" s="15"/>
      <c r="C23" s="15"/>
      <c r="D23" s="15">
        <v>17</v>
      </c>
      <c r="E23" s="15"/>
      <c r="F23" s="15"/>
      <c r="G23" s="15">
        <v>17</v>
      </c>
      <c r="H23" s="15"/>
      <c r="L23" s="12" t="s">
        <v>588</v>
      </c>
      <c r="M23" s="15">
        <v>1</v>
      </c>
    </row>
    <row r="24" spans="1:13" x14ac:dyDescent="0.2">
      <c r="A24" s="13" t="s">
        <v>227</v>
      </c>
      <c r="B24" s="15"/>
      <c r="C24" s="15"/>
      <c r="D24" s="15">
        <v>1</v>
      </c>
      <c r="E24" s="15"/>
      <c r="F24" s="15"/>
      <c r="G24" s="15">
        <v>1</v>
      </c>
      <c r="H24" s="15"/>
      <c r="L24" s="12" t="s">
        <v>589</v>
      </c>
      <c r="M24" s="15">
        <v>3</v>
      </c>
    </row>
    <row r="25" spans="1:13" x14ac:dyDescent="0.2">
      <c r="A25" s="14" t="s">
        <v>230</v>
      </c>
      <c r="B25" s="15"/>
      <c r="C25" s="15"/>
      <c r="D25" s="15">
        <v>1</v>
      </c>
      <c r="E25" s="15"/>
      <c r="F25" s="15"/>
      <c r="G25" s="15">
        <v>1</v>
      </c>
      <c r="H25" s="15"/>
      <c r="L25" s="12" t="s">
        <v>590</v>
      </c>
      <c r="M25" s="15">
        <v>2</v>
      </c>
    </row>
    <row r="26" spans="1:13" x14ac:dyDescent="0.2">
      <c r="A26" s="13" t="s">
        <v>541</v>
      </c>
      <c r="B26" s="15"/>
      <c r="C26" s="15"/>
      <c r="D26" s="15">
        <v>1</v>
      </c>
      <c r="E26" s="15"/>
      <c r="F26" s="15"/>
      <c r="G26" s="15">
        <v>1</v>
      </c>
      <c r="H26" s="15"/>
      <c r="L26" s="12" t="s">
        <v>591</v>
      </c>
      <c r="M26" s="15">
        <v>1</v>
      </c>
    </row>
    <row r="27" spans="1:13" x14ac:dyDescent="0.2">
      <c r="A27" s="14" t="s">
        <v>557</v>
      </c>
      <c r="B27" s="15"/>
      <c r="C27" s="15"/>
      <c r="D27" s="15">
        <v>1</v>
      </c>
      <c r="E27" s="15"/>
      <c r="F27" s="15"/>
      <c r="G27" s="15">
        <v>1</v>
      </c>
      <c r="H27" s="15"/>
      <c r="L27" s="12" t="s">
        <v>592</v>
      </c>
      <c r="M27" s="15">
        <v>1</v>
      </c>
    </row>
    <row r="28" spans="1:13" x14ac:dyDescent="0.2">
      <c r="A28" s="13" t="s">
        <v>188</v>
      </c>
      <c r="B28" s="15"/>
      <c r="C28" s="15"/>
      <c r="D28" s="15"/>
      <c r="E28" s="15">
        <v>2</v>
      </c>
      <c r="F28" s="15"/>
      <c r="G28" s="15">
        <v>2</v>
      </c>
      <c r="H28" s="15"/>
      <c r="L28" s="12" t="s">
        <v>593</v>
      </c>
      <c r="M28" s="15">
        <v>14</v>
      </c>
    </row>
    <row r="29" spans="1:13" x14ac:dyDescent="0.2">
      <c r="A29" s="14" t="s">
        <v>188</v>
      </c>
      <c r="B29" s="15"/>
      <c r="C29" s="15"/>
      <c r="D29" s="15"/>
      <c r="E29" s="15">
        <v>2</v>
      </c>
      <c r="F29" s="15"/>
      <c r="G29" s="15">
        <v>2</v>
      </c>
      <c r="H29" s="15"/>
      <c r="L29" s="12" t="s">
        <v>594</v>
      </c>
      <c r="M29" s="15">
        <v>2</v>
      </c>
    </row>
    <row r="30" spans="1:13" x14ac:dyDescent="0.2">
      <c r="A30" s="13" t="s">
        <v>557</v>
      </c>
      <c r="B30" s="15">
        <v>2</v>
      </c>
      <c r="C30" s="15"/>
      <c r="D30" s="15"/>
      <c r="E30" s="15">
        <v>3</v>
      </c>
      <c r="F30" s="15"/>
      <c r="G30" s="15">
        <v>5</v>
      </c>
      <c r="H30" s="15"/>
      <c r="L30" s="12" t="s">
        <v>595</v>
      </c>
      <c r="M30" s="15">
        <v>17</v>
      </c>
    </row>
    <row r="31" spans="1:13" x14ac:dyDescent="0.2">
      <c r="A31" s="14" t="s">
        <v>557</v>
      </c>
      <c r="B31" s="15">
        <v>2</v>
      </c>
      <c r="C31" s="15"/>
      <c r="D31" s="15"/>
      <c r="E31" s="15">
        <v>3</v>
      </c>
      <c r="F31" s="15"/>
      <c r="G31" s="15">
        <v>5</v>
      </c>
      <c r="H31" s="15"/>
      <c r="L31" s="12" t="s">
        <v>596</v>
      </c>
      <c r="M31" s="15">
        <v>1</v>
      </c>
    </row>
    <row r="32" spans="1:13" x14ac:dyDescent="0.2">
      <c r="A32" s="12" t="s">
        <v>212</v>
      </c>
      <c r="B32" s="15">
        <v>6</v>
      </c>
      <c r="C32" s="15">
        <v>1</v>
      </c>
      <c r="D32" s="15">
        <v>14</v>
      </c>
      <c r="E32" s="15">
        <v>18</v>
      </c>
      <c r="F32" s="15"/>
      <c r="G32" s="15">
        <v>39</v>
      </c>
      <c r="H32" s="15"/>
      <c r="L32" s="12" t="s">
        <v>597</v>
      </c>
      <c r="M32" s="15">
        <v>1</v>
      </c>
    </row>
    <row r="33" spans="1:13" x14ac:dyDescent="0.2">
      <c r="A33" s="13" t="s">
        <v>552</v>
      </c>
      <c r="B33" s="15"/>
      <c r="C33" s="15"/>
      <c r="D33" s="15">
        <v>1</v>
      </c>
      <c r="E33" s="15"/>
      <c r="F33" s="15"/>
      <c r="G33" s="15">
        <v>1</v>
      </c>
      <c r="H33" s="15"/>
      <c r="L33" s="12" t="s">
        <v>598</v>
      </c>
      <c r="M33" s="15">
        <v>1</v>
      </c>
    </row>
    <row r="34" spans="1:13" x14ac:dyDescent="0.2">
      <c r="A34" s="14" t="s">
        <v>557</v>
      </c>
      <c r="B34" s="15"/>
      <c r="C34" s="15"/>
      <c r="D34" s="15">
        <v>1</v>
      </c>
      <c r="E34" s="15"/>
      <c r="F34" s="15"/>
      <c r="G34" s="15">
        <v>1</v>
      </c>
      <c r="H34" s="15"/>
      <c r="L34" s="12" t="s">
        <v>599</v>
      </c>
      <c r="M34" s="15">
        <v>1</v>
      </c>
    </row>
    <row r="35" spans="1:13" x14ac:dyDescent="0.2">
      <c r="A35" s="13" t="s">
        <v>548</v>
      </c>
      <c r="B35" s="15"/>
      <c r="C35" s="15"/>
      <c r="D35" s="15"/>
      <c r="E35" s="15">
        <v>9</v>
      </c>
      <c r="F35" s="15"/>
      <c r="G35" s="15">
        <v>9</v>
      </c>
      <c r="H35" s="15"/>
      <c r="L35" s="12" t="s">
        <v>558</v>
      </c>
      <c r="M35" s="15">
        <v>150</v>
      </c>
    </row>
    <row r="36" spans="1:13" x14ac:dyDescent="0.2">
      <c r="A36" s="14" t="s">
        <v>557</v>
      </c>
      <c r="B36" s="15"/>
      <c r="C36" s="15"/>
      <c r="D36" s="15"/>
      <c r="E36" s="15">
        <v>9</v>
      </c>
      <c r="F36" s="15"/>
      <c r="G36" s="15">
        <v>9</v>
      </c>
      <c r="H36" s="15"/>
    </row>
    <row r="37" spans="1:13" x14ac:dyDescent="0.2">
      <c r="A37" s="13" t="s">
        <v>193</v>
      </c>
      <c r="B37" s="15">
        <v>2</v>
      </c>
      <c r="C37" s="15"/>
      <c r="D37" s="15">
        <v>1</v>
      </c>
      <c r="E37" s="15"/>
      <c r="F37" s="15"/>
      <c r="G37" s="15">
        <v>3</v>
      </c>
      <c r="H37" s="15"/>
    </row>
    <row r="38" spans="1:13" x14ac:dyDescent="0.2">
      <c r="A38" s="14" t="s">
        <v>557</v>
      </c>
      <c r="B38" s="15">
        <v>2</v>
      </c>
      <c r="C38" s="15"/>
      <c r="D38" s="15">
        <v>1</v>
      </c>
      <c r="E38" s="15"/>
      <c r="F38" s="15"/>
      <c r="G38" s="15">
        <v>3</v>
      </c>
      <c r="H38" s="15"/>
    </row>
    <row r="39" spans="1:13" x14ac:dyDescent="0.2">
      <c r="A39" s="13" t="s">
        <v>532</v>
      </c>
      <c r="B39" s="15"/>
      <c r="C39" s="15"/>
      <c r="D39" s="15"/>
      <c r="E39" s="15">
        <v>1</v>
      </c>
      <c r="F39" s="15"/>
      <c r="G39" s="15">
        <v>1</v>
      </c>
      <c r="H39" s="15"/>
    </row>
    <row r="40" spans="1:13" x14ac:dyDescent="0.2">
      <c r="A40" s="14" t="s">
        <v>557</v>
      </c>
      <c r="B40" s="15"/>
      <c r="C40" s="15"/>
      <c r="D40" s="15"/>
      <c r="E40" s="15">
        <v>1</v>
      </c>
      <c r="F40" s="15"/>
      <c r="G40" s="15">
        <v>1</v>
      </c>
      <c r="H40" s="15"/>
    </row>
    <row r="41" spans="1:13" x14ac:dyDescent="0.2">
      <c r="A41" s="13" t="s">
        <v>541</v>
      </c>
      <c r="B41" s="15">
        <v>2</v>
      </c>
      <c r="C41" s="15"/>
      <c r="D41" s="15">
        <v>3</v>
      </c>
      <c r="E41" s="15"/>
      <c r="F41" s="15"/>
      <c r="G41" s="15">
        <v>5</v>
      </c>
      <c r="H41" s="15"/>
    </row>
    <row r="42" spans="1:13" x14ac:dyDescent="0.2">
      <c r="A42" s="14" t="s">
        <v>557</v>
      </c>
      <c r="B42" s="15">
        <v>2</v>
      </c>
      <c r="C42" s="15"/>
      <c r="D42" s="15">
        <v>3</v>
      </c>
      <c r="E42" s="15"/>
      <c r="F42" s="15"/>
      <c r="G42" s="15">
        <v>5</v>
      </c>
      <c r="H42" s="15"/>
    </row>
    <row r="43" spans="1:13" x14ac:dyDescent="0.2">
      <c r="A43" s="13" t="s">
        <v>557</v>
      </c>
      <c r="B43" s="15">
        <v>2</v>
      </c>
      <c r="C43" s="15">
        <v>1</v>
      </c>
      <c r="D43" s="15">
        <v>9</v>
      </c>
      <c r="E43" s="15">
        <v>8</v>
      </c>
      <c r="F43" s="15"/>
      <c r="G43" s="15">
        <v>20</v>
      </c>
      <c r="H43" s="15"/>
    </row>
    <row r="44" spans="1:13" x14ac:dyDescent="0.2">
      <c r="A44" s="14" t="s">
        <v>161</v>
      </c>
      <c r="B44" s="15"/>
      <c r="C44" s="15"/>
      <c r="D44" s="15"/>
      <c r="E44" s="15">
        <v>1</v>
      </c>
      <c r="F44" s="15"/>
      <c r="G44" s="15">
        <v>1</v>
      </c>
      <c r="H44" s="15"/>
    </row>
    <row r="45" spans="1:13" x14ac:dyDescent="0.2">
      <c r="A45" s="14" t="s">
        <v>557</v>
      </c>
      <c r="B45" s="15">
        <v>2</v>
      </c>
      <c r="C45" s="15">
        <v>1</v>
      </c>
      <c r="D45" s="15">
        <v>9</v>
      </c>
      <c r="E45" s="15">
        <v>7</v>
      </c>
      <c r="F45" s="15"/>
      <c r="G45" s="15">
        <v>19</v>
      </c>
      <c r="H45" s="15"/>
    </row>
    <row r="46" spans="1:13" x14ac:dyDescent="0.2">
      <c r="A46" s="12" t="s">
        <v>236</v>
      </c>
      <c r="B46" s="15"/>
      <c r="C46" s="15"/>
      <c r="D46" s="15"/>
      <c r="E46" s="15">
        <v>1</v>
      </c>
      <c r="F46" s="15"/>
      <c r="G46" s="15">
        <v>1</v>
      </c>
      <c r="H46" s="15"/>
    </row>
    <row r="47" spans="1:13" x14ac:dyDescent="0.2">
      <c r="A47" s="13" t="s">
        <v>539</v>
      </c>
      <c r="B47" s="15"/>
      <c r="C47" s="15"/>
      <c r="D47" s="15"/>
      <c r="E47" s="15">
        <v>1</v>
      </c>
      <c r="F47" s="15"/>
      <c r="G47" s="15">
        <v>1</v>
      </c>
      <c r="H47" s="15"/>
    </row>
    <row r="48" spans="1:13" x14ac:dyDescent="0.2">
      <c r="A48" s="14" t="s">
        <v>557</v>
      </c>
      <c r="B48" s="15"/>
      <c r="C48" s="15"/>
      <c r="D48" s="15"/>
      <c r="E48" s="15">
        <v>1</v>
      </c>
      <c r="F48" s="15"/>
      <c r="G48" s="15">
        <v>1</v>
      </c>
      <c r="H48" s="15"/>
    </row>
    <row r="49" spans="1:8" x14ac:dyDescent="0.2">
      <c r="A49" s="12" t="s">
        <v>188</v>
      </c>
      <c r="B49" s="15"/>
      <c r="C49" s="15"/>
      <c r="D49" s="15"/>
      <c r="E49" s="15">
        <v>42</v>
      </c>
      <c r="F49" s="15"/>
      <c r="G49" s="15">
        <v>42</v>
      </c>
      <c r="H49" s="15"/>
    </row>
    <row r="50" spans="1:8" x14ac:dyDescent="0.2">
      <c r="A50" s="13" t="s">
        <v>188</v>
      </c>
      <c r="B50" s="15"/>
      <c r="C50" s="15"/>
      <c r="D50" s="15"/>
      <c r="E50" s="15">
        <v>42</v>
      </c>
      <c r="F50" s="15"/>
      <c r="G50" s="15">
        <v>42</v>
      </c>
      <c r="H50" s="15"/>
    </row>
    <row r="51" spans="1:8" x14ac:dyDescent="0.2">
      <c r="A51" s="14" t="s">
        <v>188</v>
      </c>
      <c r="B51" s="15"/>
      <c r="C51" s="15"/>
      <c r="D51" s="15"/>
      <c r="E51" s="15">
        <v>42</v>
      </c>
      <c r="F51" s="15"/>
      <c r="G51" s="15">
        <v>42</v>
      </c>
      <c r="H51" s="15"/>
    </row>
    <row r="52" spans="1:8" x14ac:dyDescent="0.2">
      <c r="A52" s="12" t="s">
        <v>557</v>
      </c>
      <c r="B52" s="15">
        <v>1</v>
      </c>
      <c r="C52" s="15">
        <v>1</v>
      </c>
      <c r="D52" s="15">
        <v>1</v>
      </c>
      <c r="E52" s="15">
        <v>13</v>
      </c>
      <c r="F52" s="15"/>
      <c r="G52" s="15">
        <v>16</v>
      </c>
      <c r="H52" s="15"/>
    </row>
    <row r="53" spans="1:8" x14ac:dyDescent="0.2">
      <c r="A53" s="13" t="s">
        <v>557</v>
      </c>
      <c r="B53" s="15">
        <v>1</v>
      </c>
      <c r="C53" s="15">
        <v>1</v>
      </c>
      <c r="D53" s="15">
        <v>1</v>
      </c>
      <c r="E53" s="15">
        <v>13</v>
      </c>
      <c r="F53" s="15"/>
      <c r="G53" s="15">
        <v>16</v>
      </c>
      <c r="H53" s="15"/>
    </row>
    <row r="54" spans="1:8" x14ac:dyDescent="0.2">
      <c r="A54" s="14" t="s">
        <v>557</v>
      </c>
      <c r="B54" s="15">
        <v>1</v>
      </c>
      <c r="C54" s="15">
        <v>1</v>
      </c>
      <c r="D54" s="15">
        <v>1</v>
      </c>
      <c r="E54" s="15">
        <v>13</v>
      </c>
      <c r="F54" s="15"/>
      <c r="G54" s="15">
        <v>16</v>
      </c>
      <c r="H54" s="15"/>
    </row>
    <row r="55" spans="1:8" x14ac:dyDescent="0.2">
      <c r="A55" s="12" t="s">
        <v>558</v>
      </c>
      <c r="B55" s="15">
        <v>25</v>
      </c>
      <c r="C55" s="15">
        <v>2</v>
      </c>
      <c r="D55" s="15">
        <v>34</v>
      </c>
      <c r="E55" s="15">
        <v>87</v>
      </c>
      <c r="F55" s="15"/>
      <c r="G55" s="15">
        <v>148</v>
      </c>
      <c r="H55" s="15"/>
    </row>
    <row r="56" spans="1:8" x14ac:dyDescent="0.2">
      <c r="H56" s="15"/>
    </row>
    <row r="57" spans="1:8" x14ac:dyDescent="0.2">
      <c r="H57" s="15"/>
    </row>
    <row r="58" spans="1:8" x14ac:dyDescent="0.2">
      <c r="H58" s="15"/>
    </row>
    <row r="59" spans="1:8" x14ac:dyDescent="0.2">
      <c r="H59" s="15"/>
    </row>
    <row r="60" spans="1:8" x14ac:dyDescent="0.2">
      <c r="H60" s="15"/>
    </row>
    <row r="61" spans="1:8" x14ac:dyDescent="0.2">
      <c r="H61" s="15"/>
    </row>
    <row r="62" spans="1:8" x14ac:dyDescent="0.2">
      <c r="H62" s="15"/>
    </row>
    <row r="63" spans="1:8" x14ac:dyDescent="0.2">
      <c r="H63" s="15"/>
    </row>
    <row r="64" spans="1:8" x14ac:dyDescent="0.2">
      <c r="H64" s="15"/>
    </row>
    <row r="65" spans="8:8" x14ac:dyDescent="0.2">
      <c r="H65" s="15"/>
    </row>
    <row r="66" spans="8:8" x14ac:dyDescent="0.2">
      <c r="H66" s="15"/>
    </row>
    <row r="67" spans="8:8" x14ac:dyDescent="0.2">
      <c r="H67" s="15"/>
    </row>
    <row r="68" spans="8:8" x14ac:dyDescent="0.2">
      <c r="H68" s="15"/>
    </row>
    <row r="69" spans="8:8" x14ac:dyDescent="0.2">
      <c r="H69" s="15"/>
    </row>
    <row r="70" spans="8:8" x14ac:dyDescent="0.2">
      <c r="H70" s="15"/>
    </row>
    <row r="71" spans="8:8" x14ac:dyDescent="0.2">
      <c r="H71" s="15"/>
    </row>
    <row r="72" spans="8:8" x14ac:dyDescent="0.2">
      <c r="H72" s="15"/>
    </row>
    <row r="73" spans="8:8" x14ac:dyDescent="0.2">
      <c r="H73" s="15"/>
    </row>
    <row r="74" spans="8:8" x14ac:dyDescent="0.2">
      <c r="H74" s="15"/>
    </row>
    <row r="75" spans="8:8" x14ac:dyDescent="0.2">
      <c r="H75" s="15"/>
    </row>
    <row r="76" spans="8:8" x14ac:dyDescent="0.2">
      <c r="H76" s="15"/>
    </row>
    <row r="77" spans="8:8" x14ac:dyDescent="0.2">
      <c r="H77" s="15"/>
    </row>
    <row r="78" spans="8:8" x14ac:dyDescent="0.2">
      <c r="H78" s="15"/>
    </row>
    <row r="79" spans="8:8" x14ac:dyDescent="0.2">
      <c r="H79" s="15"/>
    </row>
    <row r="80" spans="8:8" x14ac:dyDescent="0.2">
      <c r="H80" s="15"/>
    </row>
    <row r="81" spans="3:8" x14ac:dyDescent="0.2">
      <c r="H81" s="15"/>
    </row>
    <row r="82" spans="3:8" x14ac:dyDescent="0.2">
      <c r="H82" s="15"/>
    </row>
    <row r="83" spans="3:8" x14ac:dyDescent="0.2">
      <c r="H83" s="15"/>
    </row>
    <row r="84" spans="3:8" x14ac:dyDescent="0.2">
      <c r="H84" s="15"/>
    </row>
    <row r="85" spans="3:8" x14ac:dyDescent="0.2">
      <c r="H85" s="15"/>
    </row>
    <row r="86" spans="3:8" x14ac:dyDescent="0.2">
      <c r="H86" s="15"/>
    </row>
    <row r="87" spans="3:8" x14ac:dyDescent="0.2">
      <c r="H87" s="15"/>
    </row>
    <row r="88" spans="3:8" x14ac:dyDescent="0.2">
      <c r="H88" s="15"/>
    </row>
    <row r="89" spans="3:8" x14ac:dyDescent="0.2">
      <c r="H89" s="15"/>
    </row>
    <row r="90" spans="3:8" x14ac:dyDescent="0.2">
      <c r="H90" s="15"/>
    </row>
    <row r="91" spans="3:8" x14ac:dyDescent="0.2">
      <c r="H91" s="15"/>
    </row>
    <row r="92" spans="3:8" x14ac:dyDescent="0.2">
      <c r="H92" s="15"/>
    </row>
    <row r="93" spans="3:8" x14ac:dyDescent="0.2">
      <c r="C93" s="15"/>
      <c r="D93" s="15"/>
      <c r="E93" s="15"/>
      <c r="F93" s="15"/>
      <c r="G93" s="15"/>
      <c r="H93" s="15"/>
    </row>
    <row r="94" spans="3:8" x14ac:dyDescent="0.2">
      <c r="C94" s="15"/>
      <c r="D94" s="15"/>
      <c r="E94" s="15"/>
      <c r="F94" s="15"/>
      <c r="G94" s="15"/>
      <c r="H94" s="15"/>
    </row>
    <row r="95" spans="3:8" x14ac:dyDescent="0.2">
      <c r="C95" s="15"/>
      <c r="D95" s="15"/>
      <c r="E95" s="15"/>
      <c r="F95" s="15"/>
      <c r="G95" s="15"/>
      <c r="H95" s="15"/>
    </row>
    <row r="96" spans="3:8" x14ac:dyDescent="0.2">
      <c r="C96" s="15"/>
      <c r="D96" s="15"/>
      <c r="E96" s="15"/>
      <c r="F96" s="15"/>
      <c r="G96" s="15"/>
      <c r="H96" s="15"/>
    </row>
    <row r="97" spans="3:8" x14ac:dyDescent="0.2">
      <c r="C97" s="15"/>
      <c r="D97" s="15"/>
      <c r="E97" s="15"/>
      <c r="F97" s="15"/>
      <c r="G97" s="15"/>
      <c r="H97" s="15"/>
    </row>
    <row r="98" spans="3:8" x14ac:dyDescent="0.2">
      <c r="C98" s="15"/>
      <c r="D98" s="15"/>
      <c r="E98" s="15"/>
      <c r="F98" s="15"/>
      <c r="G98" s="15"/>
      <c r="H98" s="15"/>
    </row>
    <row r="99" spans="3:8" x14ac:dyDescent="0.2">
      <c r="C99" s="15"/>
      <c r="D99" s="15"/>
      <c r="E99" s="15"/>
      <c r="F99" s="15"/>
      <c r="G99" s="15"/>
      <c r="H99" s="15"/>
    </row>
    <row r="100" spans="3:8" x14ac:dyDescent="0.2">
      <c r="C100" s="15"/>
      <c r="D100" s="15"/>
      <c r="E100" s="15"/>
      <c r="F100" s="15"/>
      <c r="G100" s="15"/>
      <c r="H100" s="15"/>
    </row>
    <row r="101" spans="3:8" x14ac:dyDescent="0.2">
      <c r="C101" s="15"/>
      <c r="D101" s="15"/>
      <c r="E101" s="15"/>
      <c r="F101" s="15"/>
      <c r="G101" s="15"/>
      <c r="H101" s="15"/>
    </row>
    <row r="102" spans="3:8" x14ac:dyDescent="0.2">
      <c r="C102" s="15"/>
      <c r="D102" s="15"/>
      <c r="E102" s="15"/>
      <c r="F102" s="15"/>
      <c r="G102" s="15"/>
      <c r="H102" s="15"/>
    </row>
    <row r="103" spans="3:8" x14ac:dyDescent="0.2">
      <c r="C103" s="15"/>
      <c r="D103" s="15"/>
      <c r="E103" s="15"/>
      <c r="F103" s="15"/>
      <c r="G103" s="15"/>
      <c r="H103" s="15"/>
    </row>
    <row r="104" spans="3:8" x14ac:dyDescent="0.2">
      <c r="C104" s="15"/>
      <c r="D104" s="15"/>
      <c r="E104" s="15"/>
      <c r="F104" s="15"/>
      <c r="G104" s="15"/>
      <c r="H104" s="15"/>
    </row>
    <row r="105" spans="3:8" x14ac:dyDescent="0.2">
      <c r="C105" s="15"/>
      <c r="D105" s="15"/>
      <c r="E105" s="15"/>
      <c r="F105" s="15"/>
      <c r="G105" s="15"/>
      <c r="H105" s="15"/>
    </row>
    <row r="106" spans="3:8" x14ac:dyDescent="0.2">
      <c r="C106" s="15"/>
      <c r="D106" s="15"/>
      <c r="E106" s="15"/>
      <c r="F106" s="15"/>
      <c r="G106" s="15"/>
      <c r="H106" s="15"/>
    </row>
    <row r="107" spans="3:8" x14ac:dyDescent="0.2">
      <c r="C107" s="15"/>
      <c r="D107" s="15"/>
      <c r="E107" s="15"/>
      <c r="F107" s="15"/>
      <c r="G107" s="15"/>
      <c r="H107" s="15"/>
    </row>
    <row r="108" spans="3:8" x14ac:dyDescent="0.2">
      <c r="C108" s="15"/>
      <c r="D108" s="15"/>
      <c r="E108" s="15"/>
      <c r="F108" s="15"/>
      <c r="G108" s="15"/>
      <c r="H108" s="15"/>
    </row>
    <row r="109" spans="3:8" x14ac:dyDescent="0.2">
      <c r="C109" s="15"/>
      <c r="D109" s="15"/>
      <c r="E109" s="15"/>
      <c r="F109" s="15"/>
      <c r="G109" s="15"/>
      <c r="H109" s="15"/>
    </row>
    <row r="110" spans="3:8" x14ac:dyDescent="0.2">
      <c r="C110" s="15"/>
      <c r="D110" s="15"/>
      <c r="E110" s="15"/>
      <c r="F110" s="15"/>
      <c r="G110" s="15"/>
      <c r="H110" s="15"/>
    </row>
    <row r="111" spans="3:8" x14ac:dyDescent="0.2">
      <c r="C111" s="15"/>
      <c r="D111" s="15"/>
      <c r="E111" s="15"/>
      <c r="F111" s="15"/>
      <c r="G111" s="15"/>
      <c r="H111" s="15"/>
    </row>
    <row r="112" spans="3:8" x14ac:dyDescent="0.2">
      <c r="C112" s="15"/>
      <c r="D112" s="15"/>
      <c r="E112" s="15"/>
      <c r="F112" s="15"/>
      <c r="G112" s="15"/>
      <c r="H112" s="15"/>
    </row>
    <row r="113" spans="3:8" x14ac:dyDescent="0.2">
      <c r="C113" s="15"/>
      <c r="D113" s="15"/>
      <c r="E113" s="15"/>
      <c r="F113" s="15"/>
      <c r="G113" s="15"/>
      <c r="H113" s="15"/>
    </row>
    <row r="114" spans="3:8" x14ac:dyDescent="0.2">
      <c r="C114" s="15"/>
      <c r="D114" s="15"/>
      <c r="E114" s="15"/>
      <c r="F114" s="15"/>
      <c r="G114" s="15"/>
      <c r="H114" s="15"/>
    </row>
    <row r="115" spans="3:8" x14ac:dyDescent="0.2">
      <c r="C115" s="15"/>
      <c r="D115" s="15"/>
      <c r="E115" s="15"/>
      <c r="F115" s="15"/>
      <c r="G115" s="15"/>
      <c r="H115" s="15"/>
    </row>
    <row r="116" spans="3:8" x14ac:dyDescent="0.2">
      <c r="C116" s="15"/>
      <c r="D116" s="15"/>
      <c r="E116" s="15"/>
      <c r="F116" s="15"/>
      <c r="G116" s="15"/>
      <c r="H116" s="15"/>
    </row>
    <row r="117" spans="3:8" x14ac:dyDescent="0.2">
      <c r="C117" s="15"/>
      <c r="D117" s="15"/>
      <c r="E117" s="15"/>
      <c r="F117" s="15"/>
      <c r="G117" s="15"/>
      <c r="H117" s="15"/>
    </row>
    <row r="118" spans="3:8" x14ac:dyDescent="0.2">
      <c r="C118" s="15"/>
      <c r="D118" s="15"/>
      <c r="E118" s="15"/>
      <c r="F118" s="15"/>
      <c r="G118" s="15"/>
      <c r="H118" s="15"/>
    </row>
    <row r="119" spans="3:8" x14ac:dyDescent="0.2">
      <c r="C119" s="15"/>
      <c r="D119" s="15"/>
      <c r="E119" s="15"/>
      <c r="F119" s="15"/>
      <c r="G119" s="15"/>
      <c r="H119" s="15"/>
    </row>
    <row r="120" spans="3:8" x14ac:dyDescent="0.2">
      <c r="C120" s="15"/>
      <c r="D120" s="15"/>
      <c r="E120" s="15"/>
      <c r="F120" s="15"/>
      <c r="G120" s="15"/>
      <c r="H120" s="15"/>
    </row>
    <row r="121" spans="3:8" x14ac:dyDescent="0.2">
      <c r="C121" s="15"/>
      <c r="D121" s="15"/>
      <c r="E121" s="15"/>
      <c r="F121" s="15"/>
      <c r="G121" s="15"/>
      <c r="H121" s="15"/>
    </row>
    <row r="122" spans="3:8" x14ac:dyDescent="0.2">
      <c r="C122" s="15"/>
      <c r="D122" s="15"/>
      <c r="E122" s="15"/>
      <c r="F122" s="15"/>
      <c r="G122" s="15"/>
      <c r="H122" s="15"/>
    </row>
    <row r="123" spans="3:8" x14ac:dyDescent="0.2">
      <c r="C123" s="15"/>
      <c r="D123" s="15"/>
      <c r="E123" s="15"/>
      <c r="F123" s="15"/>
      <c r="G123" s="15"/>
      <c r="H123" s="15"/>
    </row>
    <row r="124" spans="3:8" x14ac:dyDescent="0.2">
      <c r="C124" s="15"/>
      <c r="D124" s="15"/>
      <c r="E124" s="15"/>
      <c r="F124" s="15"/>
      <c r="G124" s="15"/>
      <c r="H124" s="15"/>
    </row>
    <row r="125" spans="3:8" x14ac:dyDescent="0.2">
      <c r="C125" s="15"/>
      <c r="D125" s="15"/>
      <c r="E125" s="15"/>
      <c r="F125" s="15"/>
      <c r="G125" s="15"/>
      <c r="H125" s="15"/>
    </row>
    <row r="126" spans="3:8" x14ac:dyDescent="0.2">
      <c r="C126" s="15"/>
      <c r="D126" s="15"/>
      <c r="E126" s="15"/>
      <c r="F126" s="15"/>
      <c r="G126" s="15"/>
      <c r="H126" s="15"/>
    </row>
    <row r="127" spans="3:8" x14ac:dyDescent="0.2">
      <c r="C127" s="15"/>
      <c r="D127" s="15"/>
      <c r="E127" s="15"/>
      <c r="F127" s="15"/>
      <c r="G127" s="15"/>
      <c r="H127" s="15"/>
    </row>
    <row r="128" spans="3:8" x14ac:dyDescent="0.2">
      <c r="C128" s="15"/>
      <c r="D128" s="15"/>
      <c r="E128" s="15"/>
      <c r="F128" s="15"/>
      <c r="G128" s="15"/>
      <c r="H128" s="15"/>
    </row>
    <row r="129" spans="3:8" x14ac:dyDescent="0.2">
      <c r="C129" s="15"/>
      <c r="D129" s="15"/>
      <c r="E129" s="15"/>
      <c r="F129" s="15"/>
      <c r="G129" s="15"/>
      <c r="H129" s="15"/>
    </row>
    <row r="130" spans="3:8" x14ac:dyDescent="0.2">
      <c r="C130" s="15"/>
      <c r="D130" s="15"/>
      <c r="E130" s="15"/>
      <c r="F130" s="15"/>
      <c r="G130" s="15"/>
      <c r="H130" s="15"/>
    </row>
    <row r="131" spans="3:8" x14ac:dyDescent="0.2">
      <c r="C131" s="15"/>
      <c r="D131" s="15"/>
      <c r="E131" s="15"/>
      <c r="F131" s="15"/>
      <c r="G131" s="15"/>
      <c r="H131" s="15"/>
    </row>
  </sheetData>
  <conditionalFormatting sqref="B3:H3">
    <cfRule type="colorScale" priority="4">
      <colorScale>
        <cfvo type="min"/>
        <cfvo type="percentile" val="50"/>
        <cfvo type="max"/>
        <color rgb="FF63BE7B"/>
        <color rgb="FFFFEB84"/>
        <color rgb="FFF8696B"/>
      </colorScale>
    </cfRule>
  </conditionalFormatting>
  <conditionalFormatting sqref="B3:H3">
    <cfRule type="colorScale" priority="3">
      <colorScale>
        <cfvo type="min"/>
        <cfvo type="percentile" val="50"/>
        <cfvo type="max"/>
        <color rgb="FF63BE7B"/>
        <color rgb="FFFFEB84"/>
        <color rgb="FFF8696B"/>
      </colorScale>
    </cfRule>
  </conditionalFormatting>
  <conditionalFormatting pivot="1" sqref="M5:M6">
    <cfRule type="colorScale" priority="2">
      <colorScale>
        <cfvo type="min"/>
        <cfvo type="percentile" val="50"/>
        <cfvo type="max"/>
        <color rgb="FF63BE7B"/>
        <color rgb="FFFFEB84"/>
        <color rgb="FFF8696B"/>
      </colorScale>
    </cfRule>
  </conditionalFormatting>
  <conditionalFormatting pivot="1" sqref="M5:M3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A6DA8-814B-1F4E-B8D8-FB695D5A97B8}">
  <sheetPr codeName="Sheet3"/>
  <dimension ref="A1:A4"/>
  <sheetViews>
    <sheetView workbookViewId="0">
      <selection activeCell="J10" sqref="J10"/>
    </sheetView>
  </sheetViews>
  <sheetFormatPr baseColWidth="10" defaultRowHeight="15" x14ac:dyDescent="0.2"/>
  <sheetData>
    <row r="1" spans="1:1" x14ac:dyDescent="0.2">
      <c r="A1" t="s">
        <v>534</v>
      </c>
    </row>
    <row r="2" spans="1:1" x14ac:dyDescent="0.2">
      <c r="A2" t="s">
        <v>535</v>
      </c>
    </row>
    <row r="3" spans="1:1" x14ac:dyDescent="0.2">
      <c r="A3" t="s">
        <v>551</v>
      </c>
    </row>
    <row r="4" spans="1:1" x14ac:dyDescent="0.2">
      <c r="A4" t="s">
        <v>561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3CD97-0BED-3F45-96CB-27E082CBE308}">
  <sheetPr codeName="Sheet4"/>
  <dimension ref="A1:L236"/>
  <sheetViews>
    <sheetView workbookViewId="0">
      <selection activeCell="E30" sqref="E30"/>
    </sheetView>
  </sheetViews>
  <sheetFormatPr baseColWidth="10" defaultRowHeight="15" x14ac:dyDescent="0.2"/>
  <cols>
    <col min="1" max="1" width="14.6640625" customWidth="1"/>
    <col min="2" max="2" width="21.1640625" bestFit="1" customWidth="1"/>
    <col min="3" max="3" width="25.5" bestFit="1" customWidth="1"/>
    <col min="4" max="4" width="28.1640625" bestFit="1" customWidth="1"/>
    <col min="5" max="5" width="12.6640625" bestFit="1" customWidth="1"/>
    <col min="6" max="6" width="14.5" bestFit="1" customWidth="1"/>
  </cols>
  <sheetData>
    <row r="1" spans="1:6" x14ac:dyDescent="0.2">
      <c r="A1" s="3" t="s">
        <v>134</v>
      </c>
      <c r="B1" s="3" t="s">
        <v>135</v>
      </c>
      <c r="C1" s="3" t="s">
        <v>136</v>
      </c>
      <c r="D1" s="3" t="s">
        <v>137</v>
      </c>
      <c r="E1" s="3" t="s">
        <v>138</v>
      </c>
      <c r="F1" s="3" t="s">
        <v>139</v>
      </c>
    </row>
    <row r="2" spans="1:6" x14ac:dyDescent="0.2">
      <c r="A2" t="s">
        <v>140</v>
      </c>
      <c r="B2" t="s">
        <v>141</v>
      </c>
      <c r="C2" t="s">
        <v>142</v>
      </c>
      <c r="D2" t="s">
        <v>143</v>
      </c>
      <c r="E2" t="s">
        <v>144</v>
      </c>
      <c r="F2" t="s">
        <v>145</v>
      </c>
    </row>
    <row r="3" spans="1:6" x14ac:dyDescent="0.2">
      <c r="A3" t="s">
        <v>146</v>
      </c>
      <c r="B3" t="s">
        <v>147</v>
      </c>
      <c r="C3" t="s">
        <v>148</v>
      </c>
      <c r="D3" t="s">
        <v>149</v>
      </c>
      <c r="E3" t="s">
        <v>150</v>
      </c>
      <c r="F3" t="s">
        <v>151</v>
      </c>
    </row>
    <row r="4" spans="1:6" x14ac:dyDescent="0.2">
      <c r="A4" t="s">
        <v>152</v>
      </c>
      <c r="B4" t="s">
        <v>153</v>
      </c>
      <c r="C4" t="s">
        <v>154</v>
      </c>
      <c r="D4" t="s">
        <v>155</v>
      </c>
      <c r="E4" t="s">
        <v>156</v>
      </c>
      <c r="F4" t="s">
        <v>157</v>
      </c>
    </row>
    <row r="5" spans="1:6" x14ac:dyDescent="0.2">
      <c r="A5" t="s">
        <v>158</v>
      </c>
      <c r="B5" t="s">
        <v>159</v>
      </c>
      <c r="C5" t="s">
        <v>160</v>
      </c>
      <c r="D5" t="s">
        <v>161</v>
      </c>
      <c r="E5" t="s">
        <v>162</v>
      </c>
      <c r="F5" t="s">
        <v>163</v>
      </c>
    </row>
    <row r="6" spans="1:6" x14ac:dyDescent="0.2">
      <c r="A6" t="s">
        <v>164</v>
      </c>
      <c r="B6" t="s">
        <v>165</v>
      </c>
      <c r="C6" t="s">
        <v>166</v>
      </c>
      <c r="D6" t="s">
        <v>167</v>
      </c>
      <c r="E6" t="s">
        <v>168</v>
      </c>
      <c r="F6" t="s">
        <v>169</v>
      </c>
    </row>
    <row r="7" spans="1:6" x14ac:dyDescent="0.2">
      <c r="A7" t="s">
        <v>170</v>
      </c>
      <c r="B7" t="s">
        <v>171</v>
      </c>
      <c r="C7" t="s">
        <v>172</v>
      </c>
      <c r="D7" t="s">
        <v>173</v>
      </c>
      <c r="E7" t="s">
        <v>174</v>
      </c>
      <c r="F7" t="s">
        <v>175</v>
      </c>
    </row>
    <row r="8" spans="1:6" x14ac:dyDescent="0.2">
      <c r="A8" t="s">
        <v>176</v>
      </c>
      <c r="B8" t="s">
        <v>177</v>
      </c>
      <c r="C8" t="s">
        <v>178</v>
      </c>
      <c r="D8" t="s">
        <v>179</v>
      </c>
      <c r="E8" t="s">
        <v>180</v>
      </c>
      <c r="F8" t="s">
        <v>181</v>
      </c>
    </row>
    <row r="9" spans="1:6" x14ac:dyDescent="0.2">
      <c r="A9" t="s">
        <v>182</v>
      </c>
      <c r="B9" t="s">
        <v>183</v>
      </c>
      <c r="C9" t="s">
        <v>184</v>
      </c>
      <c r="D9" t="s">
        <v>185</v>
      </c>
      <c r="E9" t="s">
        <v>186</v>
      </c>
      <c r="F9" t="s">
        <v>187</v>
      </c>
    </row>
    <row r="10" spans="1:6" x14ac:dyDescent="0.2">
      <c r="A10" t="s">
        <v>188</v>
      </c>
      <c r="B10" t="s">
        <v>189</v>
      </c>
      <c r="C10" t="s">
        <v>190</v>
      </c>
      <c r="D10" t="s">
        <v>191</v>
      </c>
      <c r="E10" t="s">
        <v>192</v>
      </c>
      <c r="F10" t="s">
        <v>193</v>
      </c>
    </row>
    <row r="11" spans="1:6" x14ac:dyDescent="0.2">
      <c r="B11" t="s">
        <v>194</v>
      </c>
      <c r="C11" t="s">
        <v>195</v>
      </c>
      <c r="D11" t="s">
        <v>196</v>
      </c>
      <c r="E11" t="s">
        <v>197</v>
      </c>
      <c r="F11" t="s">
        <v>198</v>
      </c>
    </row>
    <row r="12" spans="1:6" x14ac:dyDescent="0.2">
      <c r="B12" t="s">
        <v>199</v>
      </c>
      <c r="C12" t="s">
        <v>200</v>
      </c>
      <c r="D12" t="s">
        <v>201</v>
      </c>
      <c r="E12" t="s">
        <v>202</v>
      </c>
      <c r="F12" t="s">
        <v>203</v>
      </c>
    </row>
    <row r="13" spans="1:6" x14ac:dyDescent="0.2">
      <c r="B13" t="s">
        <v>204</v>
      </c>
      <c r="C13" t="s">
        <v>205</v>
      </c>
      <c r="D13" t="s">
        <v>206</v>
      </c>
      <c r="E13" t="s">
        <v>207</v>
      </c>
      <c r="F13" t="s">
        <v>208</v>
      </c>
    </row>
    <row r="14" spans="1:6" x14ac:dyDescent="0.2">
      <c r="B14" t="s">
        <v>209</v>
      </c>
      <c r="C14" t="s">
        <v>210</v>
      </c>
      <c r="D14" t="s">
        <v>211</v>
      </c>
      <c r="E14" t="s">
        <v>212</v>
      </c>
      <c r="F14" t="s">
        <v>213</v>
      </c>
    </row>
    <row r="15" spans="1:6" x14ac:dyDescent="0.2">
      <c r="B15" t="s">
        <v>214</v>
      </c>
      <c r="C15" t="s">
        <v>143</v>
      </c>
      <c r="D15" t="s">
        <v>215</v>
      </c>
      <c r="E15" t="s">
        <v>216</v>
      </c>
      <c r="F15" t="s">
        <v>217</v>
      </c>
    </row>
    <row r="16" spans="1:6" x14ac:dyDescent="0.2">
      <c r="B16" t="s">
        <v>218</v>
      </c>
      <c r="C16" t="s">
        <v>219</v>
      </c>
      <c r="D16" t="s">
        <v>220</v>
      </c>
      <c r="E16" t="s">
        <v>221</v>
      </c>
      <c r="F16" t="s">
        <v>222</v>
      </c>
    </row>
    <row r="17" spans="2:12" x14ac:dyDescent="0.2">
      <c r="B17" t="s">
        <v>223</v>
      </c>
      <c r="C17" t="s">
        <v>224</v>
      </c>
      <c r="D17" t="s">
        <v>225</v>
      </c>
      <c r="E17" t="s">
        <v>226</v>
      </c>
      <c r="F17" t="s">
        <v>227</v>
      </c>
    </row>
    <row r="18" spans="2:12" x14ac:dyDescent="0.2">
      <c r="B18" t="s">
        <v>228</v>
      </c>
      <c r="C18" t="s">
        <v>229</v>
      </c>
      <c r="D18" t="s">
        <v>230</v>
      </c>
      <c r="E18" t="s">
        <v>231</v>
      </c>
      <c r="F18" t="s">
        <v>232</v>
      </c>
    </row>
    <row r="19" spans="2:12" x14ac:dyDescent="0.2">
      <c r="B19" t="s">
        <v>233</v>
      </c>
      <c r="C19" t="s">
        <v>234</v>
      </c>
      <c r="D19" t="s">
        <v>235</v>
      </c>
      <c r="E19" t="s">
        <v>236</v>
      </c>
      <c r="F19" t="s">
        <v>237</v>
      </c>
    </row>
    <row r="20" spans="2:12" x14ac:dyDescent="0.2">
      <c r="B20" t="s">
        <v>238</v>
      </c>
      <c r="C20" t="s">
        <v>239</v>
      </c>
      <c r="D20" t="s">
        <v>240</v>
      </c>
      <c r="E20" t="s">
        <v>241</v>
      </c>
      <c r="F20" t="s">
        <v>242</v>
      </c>
    </row>
    <row r="21" spans="2:12" x14ac:dyDescent="0.2">
      <c r="B21" t="s">
        <v>243</v>
      </c>
      <c r="C21" t="s">
        <v>244</v>
      </c>
      <c r="D21" t="s">
        <v>245</v>
      </c>
      <c r="E21" t="s">
        <v>246</v>
      </c>
      <c r="F21" t="s">
        <v>247</v>
      </c>
    </row>
    <row r="22" spans="2:12" x14ac:dyDescent="0.2">
      <c r="B22" t="s">
        <v>248</v>
      </c>
      <c r="C22" t="s">
        <v>249</v>
      </c>
      <c r="D22" t="s">
        <v>250</v>
      </c>
      <c r="E22" t="s">
        <v>251</v>
      </c>
      <c r="F22" t="s">
        <v>252</v>
      </c>
    </row>
    <row r="23" spans="2:12" x14ac:dyDescent="0.2">
      <c r="B23" t="s">
        <v>253</v>
      </c>
      <c r="C23" t="s">
        <v>254</v>
      </c>
      <c r="D23" t="s">
        <v>255</v>
      </c>
      <c r="E23" t="s">
        <v>188</v>
      </c>
      <c r="F23" t="s">
        <v>188</v>
      </c>
    </row>
    <row r="24" spans="2:12" ht="16" x14ac:dyDescent="0.2">
      <c r="B24" t="s">
        <v>256</v>
      </c>
      <c r="C24" t="s">
        <v>257</v>
      </c>
      <c r="D24" t="s">
        <v>258</v>
      </c>
      <c r="F24" s="9" t="s">
        <v>532</v>
      </c>
    </row>
    <row r="25" spans="2:12" ht="16" x14ac:dyDescent="0.2">
      <c r="B25" t="s">
        <v>259</v>
      </c>
      <c r="C25" t="s">
        <v>260</v>
      </c>
      <c r="D25" t="s">
        <v>261</v>
      </c>
      <c r="F25" s="9" t="s">
        <v>539</v>
      </c>
    </row>
    <row r="26" spans="2:12" ht="16" x14ac:dyDescent="0.2">
      <c r="B26" t="s">
        <v>262</v>
      </c>
      <c r="C26" t="s">
        <v>263</v>
      </c>
      <c r="D26" t="s">
        <v>264</v>
      </c>
      <c r="F26" s="9" t="s">
        <v>541</v>
      </c>
    </row>
    <row r="27" spans="2:12" ht="16" x14ac:dyDescent="0.2">
      <c r="B27" t="s">
        <v>265</v>
      </c>
      <c r="C27" t="s">
        <v>266</v>
      </c>
      <c r="D27" t="s">
        <v>267</v>
      </c>
      <c r="F27" s="9" t="s">
        <v>548</v>
      </c>
      <c r="L27" s="9" t="s">
        <v>554</v>
      </c>
    </row>
    <row r="28" spans="2:12" ht="16" x14ac:dyDescent="0.2">
      <c r="B28" t="s">
        <v>268</v>
      </c>
      <c r="C28" t="s">
        <v>269</v>
      </c>
      <c r="D28" t="s">
        <v>270</v>
      </c>
      <c r="F28" s="9" t="s">
        <v>552</v>
      </c>
    </row>
    <row r="29" spans="2:12" x14ac:dyDescent="0.2">
      <c r="B29" t="s">
        <v>271</v>
      </c>
      <c r="C29" t="s">
        <v>272</v>
      </c>
      <c r="D29" t="s">
        <v>273</v>
      </c>
    </row>
    <row r="30" spans="2:12" x14ac:dyDescent="0.2">
      <c r="B30" t="s">
        <v>274</v>
      </c>
      <c r="C30" t="s">
        <v>275</v>
      </c>
      <c r="D30" t="s">
        <v>276</v>
      </c>
    </row>
    <row r="31" spans="2:12" x14ac:dyDescent="0.2">
      <c r="B31" t="s">
        <v>277</v>
      </c>
      <c r="C31" t="s">
        <v>278</v>
      </c>
      <c r="D31" t="s">
        <v>279</v>
      </c>
    </row>
    <row r="32" spans="2:12" x14ac:dyDescent="0.2">
      <c r="B32" t="s">
        <v>280</v>
      </c>
      <c r="C32" t="s">
        <v>281</v>
      </c>
      <c r="D32" t="s">
        <v>282</v>
      </c>
    </row>
    <row r="33" spans="2:4" x14ac:dyDescent="0.2">
      <c r="B33" t="s">
        <v>283</v>
      </c>
      <c r="C33" t="s">
        <v>284</v>
      </c>
      <c r="D33" t="s">
        <v>188</v>
      </c>
    </row>
    <row r="34" spans="2:4" x14ac:dyDescent="0.2">
      <c r="B34" t="s">
        <v>285</v>
      </c>
      <c r="C34" t="s">
        <v>286</v>
      </c>
    </row>
    <row r="35" spans="2:4" x14ac:dyDescent="0.2">
      <c r="B35" t="s">
        <v>287</v>
      </c>
      <c r="C35" t="s">
        <v>174</v>
      </c>
    </row>
    <row r="36" spans="2:4" x14ac:dyDescent="0.2">
      <c r="B36" t="s">
        <v>288</v>
      </c>
      <c r="C36" t="s">
        <v>289</v>
      </c>
    </row>
    <row r="37" spans="2:4" x14ac:dyDescent="0.2">
      <c r="B37" t="s">
        <v>290</v>
      </c>
      <c r="C37" t="s">
        <v>291</v>
      </c>
    </row>
    <row r="38" spans="2:4" x14ac:dyDescent="0.2">
      <c r="B38" t="s">
        <v>292</v>
      </c>
      <c r="C38" t="s">
        <v>293</v>
      </c>
    </row>
    <row r="39" spans="2:4" x14ac:dyDescent="0.2">
      <c r="B39" t="s">
        <v>294</v>
      </c>
      <c r="C39" t="s">
        <v>295</v>
      </c>
    </row>
    <row r="40" spans="2:4" x14ac:dyDescent="0.2">
      <c r="B40" t="s">
        <v>296</v>
      </c>
      <c r="C40" t="s">
        <v>297</v>
      </c>
    </row>
    <row r="41" spans="2:4" x14ac:dyDescent="0.2">
      <c r="B41" t="s">
        <v>298</v>
      </c>
      <c r="C41" t="s">
        <v>299</v>
      </c>
    </row>
    <row r="42" spans="2:4" x14ac:dyDescent="0.2">
      <c r="B42" t="s">
        <v>300</v>
      </c>
      <c r="C42" t="s">
        <v>301</v>
      </c>
    </row>
    <row r="43" spans="2:4" x14ac:dyDescent="0.2">
      <c r="B43" t="s">
        <v>302</v>
      </c>
      <c r="C43" t="s">
        <v>303</v>
      </c>
    </row>
    <row r="44" spans="2:4" x14ac:dyDescent="0.2">
      <c r="B44" t="s">
        <v>304</v>
      </c>
      <c r="C44" t="s">
        <v>305</v>
      </c>
    </row>
    <row r="45" spans="2:4" x14ac:dyDescent="0.2">
      <c r="B45" t="s">
        <v>306</v>
      </c>
      <c r="C45" t="s">
        <v>307</v>
      </c>
    </row>
    <row r="46" spans="2:4" x14ac:dyDescent="0.2">
      <c r="B46" t="s">
        <v>308</v>
      </c>
      <c r="C46" t="s">
        <v>309</v>
      </c>
    </row>
    <row r="47" spans="2:4" x14ac:dyDescent="0.2">
      <c r="B47" t="s">
        <v>310</v>
      </c>
      <c r="C47" t="s">
        <v>311</v>
      </c>
    </row>
    <row r="48" spans="2:4" x14ac:dyDescent="0.2">
      <c r="B48" t="s">
        <v>312</v>
      </c>
      <c r="C48" t="s">
        <v>313</v>
      </c>
    </row>
    <row r="49" spans="2:3" x14ac:dyDescent="0.2">
      <c r="B49" t="s">
        <v>314</v>
      </c>
      <c r="C49" t="s">
        <v>315</v>
      </c>
    </row>
    <row r="50" spans="2:3" x14ac:dyDescent="0.2">
      <c r="B50" t="s">
        <v>316</v>
      </c>
      <c r="C50" t="s">
        <v>317</v>
      </c>
    </row>
    <row r="51" spans="2:3" x14ac:dyDescent="0.2">
      <c r="B51" t="s">
        <v>318</v>
      </c>
      <c r="C51" t="s">
        <v>319</v>
      </c>
    </row>
    <row r="52" spans="2:3" x14ac:dyDescent="0.2">
      <c r="B52" t="s">
        <v>320</v>
      </c>
      <c r="C52" t="s">
        <v>321</v>
      </c>
    </row>
    <row r="53" spans="2:3" x14ac:dyDescent="0.2">
      <c r="B53" t="s">
        <v>322</v>
      </c>
      <c r="C53" t="s">
        <v>323</v>
      </c>
    </row>
    <row r="54" spans="2:3" x14ac:dyDescent="0.2">
      <c r="B54" t="s">
        <v>324</v>
      </c>
      <c r="C54" t="s">
        <v>325</v>
      </c>
    </row>
    <row r="55" spans="2:3" x14ac:dyDescent="0.2">
      <c r="B55" t="s">
        <v>326</v>
      </c>
      <c r="C55" t="s">
        <v>327</v>
      </c>
    </row>
    <row r="56" spans="2:3" x14ac:dyDescent="0.2">
      <c r="B56" t="s">
        <v>328</v>
      </c>
      <c r="C56" t="s">
        <v>329</v>
      </c>
    </row>
    <row r="57" spans="2:3" x14ac:dyDescent="0.2">
      <c r="B57" t="s">
        <v>330</v>
      </c>
      <c r="C57" t="s">
        <v>331</v>
      </c>
    </row>
    <row r="58" spans="2:3" x14ac:dyDescent="0.2">
      <c r="B58" t="s">
        <v>332</v>
      </c>
      <c r="C58" t="s">
        <v>333</v>
      </c>
    </row>
    <row r="59" spans="2:3" x14ac:dyDescent="0.2">
      <c r="B59" t="s">
        <v>334</v>
      </c>
      <c r="C59" t="s">
        <v>335</v>
      </c>
    </row>
    <row r="60" spans="2:3" x14ac:dyDescent="0.2">
      <c r="B60" t="s">
        <v>336</v>
      </c>
      <c r="C60" t="s">
        <v>337</v>
      </c>
    </row>
    <row r="61" spans="2:3" x14ac:dyDescent="0.2">
      <c r="B61" t="s">
        <v>338</v>
      </c>
      <c r="C61" t="s">
        <v>339</v>
      </c>
    </row>
    <row r="62" spans="2:3" x14ac:dyDescent="0.2">
      <c r="B62" t="s">
        <v>340</v>
      </c>
      <c r="C62" t="s">
        <v>341</v>
      </c>
    </row>
    <row r="63" spans="2:3" x14ac:dyDescent="0.2">
      <c r="B63" t="s">
        <v>342</v>
      </c>
      <c r="C63" t="s">
        <v>343</v>
      </c>
    </row>
    <row r="64" spans="2:3" x14ac:dyDescent="0.2">
      <c r="B64" t="s">
        <v>344</v>
      </c>
      <c r="C64" t="s">
        <v>280</v>
      </c>
    </row>
    <row r="65" spans="2:3" x14ac:dyDescent="0.2">
      <c r="B65" t="s">
        <v>345</v>
      </c>
      <c r="C65" t="s">
        <v>346</v>
      </c>
    </row>
    <row r="66" spans="2:3" x14ac:dyDescent="0.2">
      <c r="B66" t="s">
        <v>347</v>
      </c>
      <c r="C66" t="s">
        <v>348</v>
      </c>
    </row>
    <row r="67" spans="2:3" x14ac:dyDescent="0.2">
      <c r="B67" t="s">
        <v>349</v>
      </c>
      <c r="C67" t="s">
        <v>350</v>
      </c>
    </row>
    <row r="68" spans="2:3" x14ac:dyDescent="0.2">
      <c r="B68" t="s">
        <v>351</v>
      </c>
      <c r="C68" t="s">
        <v>352</v>
      </c>
    </row>
    <row r="69" spans="2:3" x14ac:dyDescent="0.2">
      <c r="B69" t="s">
        <v>353</v>
      </c>
      <c r="C69" t="s">
        <v>354</v>
      </c>
    </row>
    <row r="70" spans="2:3" x14ac:dyDescent="0.2">
      <c r="B70" t="s">
        <v>355</v>
      </c>
      <c r="C70" t="s">
        <v>356</v>
      </c>
    </row>
    <row r="71" spans="2:3" x14ac:dyDescent="0.2">
      <c r="B71" t="s">
        <v>357</v>
      </c>
      <c r="C71" t="s">
        <v>358</v>
      </c>
    </row>
    <row r="72" spans="2:3" x14ac:dyDescent="0.2">
      <c r="B72" t="s">
        <v>359</v>
      </c>
      <c r="C72" t="s">
        <v>360</v>
      </c>
    </row>
    <row r="73" spans="2:3" x14ac:dyDescent="0.2">
      <c r="B73" t="s">
        <v>361</v>
      </c>
      <c r="C73" t="s">
        <v>362</v>
      </c>
    </row>
    <row r="74" spans="2:3" x14ac:dyDescent="0.2">
      <c r="B74" t="s">
        <v>363</v>
      </c>
      <c r="C74" t="s">
        <v>364</v>
      </c>
    </row>
    <row r="75" spans="2:3" x14ac:dyDescent="0.2">
      <c r="B75" t="s">
        <v>365</v>
      </c>
      <c r="C75" t="s">
        <v>366</v>
      </c>
    </row>
    <row r="76" spans="2:3" x14ac:dyDescent="0.2">
      <c r="B76" t="s">
        <v>367</v>
      </c>
      <c r="C76" t="s">
        <v>368</v>
      </c>
    </row>
    <row r="77" spans="2:3" x14ac:dyDescent="0.2">
      <c r="B77" t="s">
        <v>369</v>
      </c>
      <c r="C77" t="s">
        <v>370</v>
      </c>
    </row>
    <row r="78" spans="2:3" x14ac:dyDescent="0.2">
      <c r="B78" t="s">
        <v>371</v>
      </c>
      <c r="C78" t="s">
        <v>372</v>
      </c>
    </row>
    <row r="79" spans="2:3" x14ac:dyDescent="0.2">
      <c r="B79" t="s">
        <v>373</v>
      </c>
      <c r="C79" t="s">
        <v>374</v>
      </c>
    </row>
    <row r="80" spans="2:3" x14ac:dyDescent="0.2">
      <c r="B80" t="s">
        <v>375</v>
      </c>
      <c r="C80" t="s">
        <v>376</v>
      </c>
    </row>
    <row r="81" spans="2:3" x14ac:dyDescent="0.2">
      <c r="B81" t="s">
        <v>377</v>
      </c>
      <c r="C81" t="s">
        <v>378</v>
      </c>
    </row>
    <row r="82" spans="2:3" x14ac:dyDescent="0.2">
      <c r="B82" t="s">
        <v>379</v>
      </c>
      <c r="C82" t="s">
        <v>380</v>
      </c>
    </row>
    <row r="83" spans="2:3" x14ac:dyDescent="0.2">
      <c r="B83" t="s">
        <v>381</v>
      </c>
      <c r="C83" t="s">
        <v>382</v>
      </c>
    </row>
    <row r="84" spans="2:3" x14ac:dyDescent="0.2">
      <c r="B84" t="s">
        <v>383</v>
      </c>
      <c r="C84" t="s">
        <v>283</v>
      </c>
    </row>
    <row r="85" spans="2:3" x14ac:dyDescent="0.2">
      <c r="B85" t="s">
        <v>188</v>
      </c>
      <c r="C85" t="s">
        <v>384</v>
      </c>
    </row>
    <row r="86" spans="2:3" x14ac:dyDescent="0.2">
      <c r="C86" t="s">
        <v>385</v>
      </c>
    </row>
    <row r="87" spans="2:3" x14ac:dyDescent="0.2">
      <c r="C87" t="s">
        <v>386</v>
      </c>
    </row>
    <row r="88" spans="2:3" x14ac:dyDescent="0.2">
      <c r="C88" t="s">
        <v>387</v>
      </c>
    </row>
    <row r="89" spans="2:3" x14ac:dyDescent="0.2">
      <c r="C89" t="s">
        <v>388</v>
      </c>
    </row>
    <row r="90" spans="2:3" x14ac:dyDescent="0.2">
      <c r="C90" t="s">
        <v>389</v>
      </c>
    </row>
    <row r="91" spans="2:3" x14ac:dyDescent="0.2">
      <c r="C91" t="s">
        <v>390</v>
      </c>
    </row>
    <row r="92" spans="2:3" x14ac:dyDescent="0.2">
      <c r="C92" t="s">
        <v>391</v>
      </c>
    </row>
    <row r="93" spans="2:3" x14ac:dyDescent="0.2">
      <c r="C93" t="s">
        <v>392</v>
      </c>
    </row>
    <row r="94" spans="2:3" x14ac:dyDescent="0.2">
      <c r="C94" t="s">
        <v>393</v>
      </c>
    </row>
    <row r="95" spans="2:3" x14ac:dyDescent="0.2">
      <c r="C95" t="s">
        <v>394</v>
      </c>
    </row>
    <row r="96" spans="2:3" x14ac:dyDescent="0.2">
      <c r="C96" t="s">
        <v>395</v>
      </c>
    </row>
    <row r="97" spans="3:3" x14ac:dyDescent="0.2">
      <c r="C97" t="s">
        <v>396</v>
      </c>
    </row>
    <row r="98" spans="3:3" x14ac:dyDescent="0.2">
      <c r="C98" t="s">
        <v>397</v>
      </c>
    </row>
    <row r="99" spans="3:3" x14ac:dyDescent="0.2">
      <c r="C99" t="s">
        <v>398</v>
      </c>
    </row>
    <row r="100" spans="3:3" x14ac:dyDescent="0.2">
      <c r="C100" t="s">
        <v>399</v>
      </c>
    </row>
    <row r="101" spans="3:3" x14ac:dyDescent="0.2">
      <c r="C101" t="s">
        <v>400</v>
      </c>
    </row>
    <row r="102" spans="3:3" x14ac:dyDescent="0.2">
      <c r="C102" t="s">
        <v>401</v>
      </c>
    </row>
    <row r="103" spans="3:3" x14ac:dyDescent="0.2">
      <c r="C103" t="s">
        <v>304</v>
      </c>
    </row>
    <row r="104" spans="3:3" x14ac:dyDescent="0.2">
      <c r="C104" t="s">
        <v>402</v>
      </c>
    </row>
    <row r="105" spans="3:3" x14ac:dyDescent="0.2">
      <c r="C105" t="s">
        <v>403</v>
      </c>
    </row>
    <row r="106" spans="3:3" x14ac:dyDescent="0.2">
      <c r="C106" t="s">
        <v>404</v>
      </c>
    </row>
    <row r="107" spans="3:3" x14ac:dyDescent="0.2">
      <c r="C107" t="s">
        <v>405</v>
      </c>
    </row>
    <row r="108" spans="3:3" x14ac:dyDescent="0.2">
      <c r="C108" t="s">
        <v>406</v>
      </c>
    </row>
    <row r="109" spans="3:3" x14ac:dyDescent="0.2">
      <c r="C109" t="s">
        <v>407</v>
      </c>
    </row>
    <row r="110" spans="3:3" x14ac:dyDescent="0.2">
      <c r="C110" t="s">
        <v>408</v>
      </c>
    </row>
    <row r="111" spans="3:3" x14ac:dyDescent="0.2">
      <c r="C111" t="s">
        <v>409</v>
      </c>
    </row>
    <row r="112" spans="3:3" x14ac:dyDescent="0.2">
      <c r="C112" t="s">
        <v>410</v>
      </c>
    </row>
    <row r="113" spans="3:3" x14ac:dyDescent="0.2">
      <c r="C113" t="s">
        <v>411</v>
      </c>
    </row>
    <row r="114" spans="3:3" x14ac:dyDescent="0.2">
      <c r="C114" t="s">
        <v>412</v>
      </c>
    </row>
    <row r="115" spans="3:3" x14ac:dyDescent="0.2">
      <c r="C115" t="s">
        <v>413</v>
      </c>
    </row>
    <row r="116" spans="3:3" x14ac:dyDescent="0.2">
      <c r="C116" t="s">
        <v>414</v>
      </c>
    </row>
    <row r="117" spans="3:3" x14ac:dyDescent="0.2">
      <c r="C117" t="s">
        <v>415</v>
      </c>
    </row>
    <row r="118" spans="3:3" x14ac:dyDescent="0.2">
      <c r="C118" t="s">
        <v>416</v>
      </c>
    </row>
    <row r="119" spans="3:3" x14ac:dyDescent="0.2">
      <c r="C119" t="s">
        <v>417</v>
      </c>
    </row>
    <row r="120" spans="3:3" x14ac:dyDescent="0.2">
      <c r="C120" t="s">
        <v>418</v>
      </c>
    </row>
    <row r="121" spans="3:3" x14ac:dyDescent="0.2">
      <c r="C121" t="s">
        <v>419</v>
      </c>
    </row>
    <row r="122" spans="3:3" x14ac:dyDescent="0.2">
      <c r="C122" t="s">
        <v>420</v>
      </c>
    </row>
    <row r="123" spans="3:3" x14ac:dyDescent="0.2">
      <c r="C123" t="s">
        <v>421</v>
      </c>
    </row>
    <row r="124" spans="3:3" x14ac:dyDescent="0.2">
      <c r="C124" t="s">
        <v>422</v>
      </c>
    </row>
    <row r="125" spans="3:3" x14ac:dyDescent="0.2">
      <c r="C125" t="s">
        <v>423</v>
      </c>
    </row>
    <row r="126" spans="3:3" x14ac:dyDescent="0.2">
      <c r="C126" t="s">
        <v>424</v>
      </c>
    </row>
    <row r="127" spans="3:3" x14ac:dyDescent="0.2">
      <c r="C127" t="s">
        <v>425</v>
      </c>
    </row>
    <row r="128" spans="3:3" x14ac:dyDescent="0.2">
      <c r="C128" t="s">
        <v>426</v>
      </c>
    </row>
    <row r="129" spans="3:3" x14ac:dyDescent="0.2">
      <c r="C129" t="s">
        <v>427</v>
      </c>
    </row>
    <row r="130" spans="3:3" x14ac:dyDescent="0.2">
      <c r="C130" t="s">
        <v>428</v>
      </c>
    </row>
    <row r="131" spans="3:3" x14ac:dyDescent="0.2">
      <c r="C131" t="s">
        <v>429</v>
      </c>
    </row>
    <row r="132" spans="3:3" x14ac:dyDescent="0.2">
      <c r="C132" t="s">
        <v>430</v>
      </c>
    </row>
    <row r="133" spans="3:3" x14ac:dyDescent="0.2">
      <c r="C133" t="s">
        <v>431</v>
      </c>
    </row>
    <row r="134" spans="3:3" x14ac:dyDescent="0.2">
      <c r="C134" t="s">
        <v>213</v>
      </c>
    </row>
    <row r="135" spans="3:3" x14ac:dyDescent="0.2">
      <c r="C135" t="s">
        <v>432</v>
      </c>
    </row>
    <row r="136" spans="3:3" x14ac:dyDescent="0.2">
      <c r="C136" t="s">
        <v>433</v>
      </c>
    </row>
    <row r="137" spans="3:3" x14ac:dyDescent="0.2">
      <c r="C137" t="s">
        <v>434</v>
      </c>
    </row>
    <row r="138" spans="3:3" x14ac:dyDescent="0.2">
      <c r="C138" t="s">
        <v>435</v>
      </c>
    </row>
    <row r="139" spans="3:3" x14ac:dyDescent="0.2">
      <c r="C139" t="s">
        <v>436</v>
      </c>
    </row>
    <row r="140" spans="3:3" x14ac:dyDescent="0.2">
      <c r="C140" t="s">
        <v>437</v>
      </c>
    </row>
    <row r="141" spans="3:3" x14ac:dyDescent="0.2">
      <c r="C141" t="s">
        <v>438</v>
      </c>
    </row>
    <row r="142" spans="3:3" x14ac:dyDescent="0.2">
      <c r="C142" t="s">
        <v>439</v>
      </c>
    </row>
    <row r="143" spans="3:3" x14ac:dyDescent="0.2">
      <c r="C143" t="s">
        <v>440</v>
      </c>
    </row>
    <row r="144" spans="3:3" x14ac:dyDescent="0.2">
      <c r="C144" t="s">
        <v>441</v>
      </c>
    </row>
    <row r="145" spans="3:3" x14ac:dyDescent="0.2">
      <c r="C145" t="s">
        <v>442</v>
      </c>
    </row>
    <row r="146" spans="3:3" x14ac:dyDescent="0.2">
      <c r="C146" t="s">
        <v>443</v>
      </c>
    </row>
    <row r="147" spans="3:3" x14ac:dyDescent="0.2">
      <c r="C147" t="s">
        <v>444</v>
      </c>
    </row>
    <row r="148" spans="3:3" x14ac:dyDescent="0.2">
      <c r="C148" t="s">
        <v>445</v>
      </c>
    </row>
    <row r="149" spans="3:3" x14ac:dyDescent="0.2">
      <c r="C149" t="s">
        <v>446</v>
      </c>
    </row>
    <row r="150" spans="3:3" x14ac:dyDescent="0.2">
      <c r="C150" t="s">
        <v>447</v>
      </c>
    </row>
    <row r="151" spans="3:3" x14ac:dyDescent="0.2">
      <c r="C151" t="s">
        <v>448</v>
      </c>
    </row>
    <row r="152" spans="3:3" x14ac:dyDescent="0.2">
      <c r="C152" t="s">
        <v>449</v>
      </c>
    </row>
    <row r="153" spans="3:3" x14ac:dyDescent="0.2">
      <c r="C153" t="s">
        <v>450</v>
      </c>
    </row>
    <row r="154" spans="3:3" x14ac:dyDescent="0.2">
      <c r="C154" t="s">
        <v>451</v>
      </c>
    </row>
    <row r="155" spans="3:3" x14ac:dyDescent="0.2">
      <c r="C155" t="s">
        <v>452</v>
      </c>
    </row>
    <row r="156" spans="3:3" x14ac:dyDescent="0.2">
      <c r="C156" t="s">
        <v>453</v>
      </c>
    </row>
    <row r="157" spans="3:3" x14ac:dyDescent="0.2">
      <c r="C157" t="s">
        <v>454</v>
      </c>
    </row>
    <row r="158" spans="3:3" x14ac:dyDescent="0.2">
      <c r="C158" t="s">
        <v>455</v>
      </c>
    </row>
    <row r="159" spans="3:3" x14ac:dyDescent="0.2">
      <c r="C159" t="s">
        <v>456</v>
      </c>
    </row>
    <row r="160" spans="3:3" x14ac:dyDescent="0.2">
      <c r="C160" t="s">
        <v>457</v>
      </c>
    </row>
    <row r="161" spans="3:3" x14ac:dyDescent="0.2">
      <c r="C161" t="s">
        <v>458</v>
      </c>
    </row>
    <row r="162" spans="3:3" x14ac:dyDescent="0.2">
      <c r="C162" t="s">
        <v>459</v>
      </c>
    </row>
    <row r="163" spans="3:3" x14ac:dyDescent="0.2">
      <c r="C163" t="s">
        <v>460</v>
      </c>
    </row>
    <row r="164" spans="3:3" x14ac:dyDescent="0.2">
      <c r="C164" t="s">
        <v>461</v>
      </c>
    </row>
    <row r="165" spans="3:3" x14ac:dyDescent="0.2">
      <c r="C165" t="s">
        <v>462</v>
      </c>
    </row>
    <row r="166" spans="3:3" x14ac:dyDescent="0.2">
      <c r="C166" t="s">
        <v>463</v>
      </c>
    </row>
    <row r="167" spans="3:3" x14ac:dyDescent="0.2">
      <c r="C167" t="s">
        <v>464</v>
      </c>
    </row>
    <row r="168" spans="3:3" x14ac:dyDescent="0.2">
      <c r="C168" t="s">
        <v>465</v>
      </c>
    </row>
    <row r="169" spans="3:3" x14ac:dyDescent="0.2">
      <c r="C169" t="s">
        <v>466</v>
      </c>
    </row>
    <row r="170" spans="3:3" x14ac:dyDescent="0.2">
      <c r="C170" t="s">
        <v>467</v>
      </c>
    </row>
    <row r="171" spans="3:3" x14ac:dyDescent="0.2">
      <c r="C171" t="s">
        <v>468</v>
      </c>
    </row>
    <row r="172" spans="3:3" x14ac:dyDescent="0.2">
      <c r="C172" t="s">
        <v>469</v>
      </c>
    </row>
    <row r="173" spans="3:3" x14ac:dyDescent="0.2">
      <c r="C173" t="s">
        <v>470</v>
      </c>
    </row>
    <row r="174" spans="3:3" x14ac:dyDescent="0.2">
      <c r="C174" t="s">
        <v>471</v>
      </c>
    </row>
    <row r="175" spans="3:3" x14ac:dyDescent="0.2">
      <c r="C175" t="s">
        <v>472</v>
      </c>
    </row>
    <row r="176" spans="3:3" x14ac:dyDescent="0.2">
      <c r="C176" t="s">
        <v>473</v>
      </c>
    </row>
    <row r="177" spans="3:3" x14ac:dyDescent="0.2">
      <c r="C177" t="s">
        <v>474</v>
      </c>
    </row>
    <row r="178" spans="3:3" x14ac:dyDescent="0.2">
      <c r="C178" t="s">
        <v>475</v>
      </c>
    </row>
    <row r="179" spans="3:3" x14ac:dyDescent="0.2">
      <c r="C179" t="s">
        <v>476</v>
      </c>
    </row>
    <row r="180" spans="3:3" x14ac:dyDescent="0.2">
      <c r="C180" t="s">
        <v>477</v>
      </c>
    </row>
    <row r="181" spans="3:3" x14ac:dyDescent="0.2">
      <c r="C181" t="s">
        <v>478</v>
      </c>
    </row>
    <row r="182" spans="3:3" x14ac:dyDescent="0.2">
      <c r="C182" t="s">
        <v>479</v>
      </c>
    </row>
    <row r="183" spans="3:3" x14ac:dyDescent="0.2">
      <c r="C183" t="s">
        <v>480</v>
      </c>
    </row>
    <row r="184" spans="3:3" x14ac:dyDescent="0.2">
      <c r="C184" t="s">
        <v>481</v>
      </c>
    </row>
    <row r="185" spans="3:3" x14ac:dyDescent="0.2">
      <c r="C185" t="s">
        <v>482</v>
      </c>
    </row>
    <row r="186" spans="3:3" x14ac:dyDescent="0.2">
      <c r="C186" t="s">
        <v>483</v>
      </c>
    </row>
    <row r="187" spans="3:3" x14ac:dyDescent="0.2">
      <c r="C187" t="s">
        <v>484</v>
      </c>
    </row>
    <row r="188" spans="3:3" x14ac:dyDescent="0.2">
      <c r="C188" t="s">
        <v>485</v>
      </c>
    </row>
    <row r="189" spans="3:3" x14ac:dyDescent="0.2">
      <c r="C189" t="s">
        <v>486</v>
      </c>
    </row>
    <row r="190" spans="3:3" x14ac:dyDescent="0.2">
      <c r="C190" t="s">
        <v>487</v>
      </c>
    </row>
    <row r="191" spans="3:3" x14ac:dyDescent="0.2">
      <c r="C191" t="s">
        <v>488</v>
      </c>
    </row>
    <row r="192" spans="3:3" x14ac:dyDescent="0.2">
      <c r="C192" t="s">
        <v>489</v>
      </c>
    </row>
    <row r="193" spans="3:3" x14ac:dyDescent="0.2">
      <c r="C193" t="s">
        <v>490</v>
      </c>
    </row>
    <row r="194" spans="3:3" x14ac:dyDescent="0.2">
      <c r="C194" t="s">
        <v>227</v>
      </c>
    </row>
    <row r="195" spans="3:3" x14ac:dyDescent="0.2">
      <c r="C195" t="s">
        <v>232</v>
      </c>
    </row>
    <row r="196" spans="3:3" x14ac:dyDescent="0.2">
      <c r="C196" t="s">
        <v>491</v>
      </c>
    </row>
    <row r="197" spans="3:3" x14ac:dyDescent="0.2">
      <c r="C197" t="s">
        <v>492</v>
      </c>
    </row>
    <row r="198" spans="3:3" x14ac:dyDescent="0.2">
      <c r="C198" t="s">
        <v>493</v>
      </c>
    </row>
    <row r="199" spans="3:3" x14ac:dyDescent="0.2">
      <c r="C199" t="s">
        <v>494</v>
      </c>
    </row>
    <row r="200" spans="3:3" x14ac:dyDescent="0.2">
      <c r="C200" t="s">
        <v>495</v>
      </c>
    </row>
    <row r="201" spans="3:3" x14ac:dyDescent="0.2">
      <c r="C201" t="s">
        <v>496</v>
      </c>
    </row>
    <row r="202" spans="3:3" x14ac:dyDescent="0.2">
      <c r="C202" t="s">
        <v>497</v>
      </c>
    </row>
    <row r="203" spans="3:3" x14ac:dyDescent="0.2">
      <c r="C203" t="s">
        <v>498</v>
      </c>
    </row>
    <row r="204" spans="3:3" x14ac:dyDescent="0.2">
      <c r="C204" t="s">
        <v>499</v>
      </c>
    </row>
    <row r="205" spans="3:3" x14ac:dyDescent="0.2">
      <c r="C205" t="s">
        <v>500</v>
      </c>
    </row>
    <row r="206" spans="3:3" x14ac:dyDescent="0.2">
      <c r="C206" t="s">
        <v>501</v>
      </c>
    </row>
    <row r="207" spans="3:3" x14ac:dyDescent="0.2">
      <c r="C207" t="s">
        <v>502</v>
      </c>
    </row>
    <row r="208" spans="3:3" x14ac:dyDescent="0.2">
      <c r="C208" t="s">
        <v>503</v>
      </c>
    </row>
    <row r="209" spans="3:3" x14ac:dyDescent="0.2">
      <c r="C209" t="s">
        <v>504</v>
      </c>
    </row>
    <row r="210" spans="3:3" x14ac:dyDescent="0.2">
      <c r="C210" t="s">
        <v>505</v>
      </c>
    </row>
    <row r="211" spans="3:3" x14ac:dyDescent="0.2">
      <c r="C211" t="s">
        <v>506</v>
      </c>
    </row>
    <row r="212" spans="3:3" x14ac:dyDescent="0.2">
      <c r="C212" t="s">
        <v>507</v>
      </c>
    </row>
    <row r="213" spans="3:3" x14ac:dyDescent="0.2">
      <c r="C213" t="s">
        <v>508</v>
      </c>
    </row>
    <row r="214" spans="3:3" x14ac:dyDescent="0.2">
      <c r="C214" t="s">
        <v>509</v>
      </c>
    </row>
    <row r="215" spans="3:3" x14ac:dyDescent="0.2">
      <c r="C215" t="s">
        <v>510</v>
      </c>
    </row>
    <row r="216" spans="3:3" x14ac:dyDescent="0.2">
      <c r="C216" t="s">
        <v>511</v>
      </c>
    </row>
    <row r="217" spans="3:3" x14ac:dyDescent="0.2">
      <c r="C217" t="s">
        <v>512</v>
      </c>
    </row>
    <row r="218" spans="3:3" x14ac:dyDescent="0.2">
      <c r="C218" t="s">
        <v>513</v>
      </c>
    </row>
    <row r="219" spans="3:3" x14ac:dyDescent="0.2">
      <c r="C219" t="s">
        <v>514</v>
      </c>
    </row>
    <row r="220" spans="3:3" x14ac:dyDescent="0.2">
      <c r="C220" t="s">
        <v>515</v>
      </c>
    </row>
    <row r="221" spans="3:3" x14ac:dyDescent="0.2">
      <c r="C221" t="s">
        <v>516</v>
      </c>
    </row>
    <row r="222" spans="3:3" x14ac:dyDescent="0.2">
      <c r="C222" t="s">
        <v>242</v>
      </c>
    </row>
    <row r="223" spans="3:3" x14ac:dyDescent="0.2">
      <c r="C223" t="s">
        <v>517</v>
      </c>
    </row>
    <row r="224" spans="3:3" x14ac:dyDescent="0.2">
      <c r="C224" t="s">
        <v>518</v>
      </c>
    </row>
    <row r="225" spans="3:3" x14ac:dyDescent="0.2">
      <c r="C225" t="s">
        <v>519</v>
      </c>
    </row>
    <row r="226" spans="3:3" x14ac:dyDescent="0.2">
      <c r="C226" t="s">
        <v>379</v>
      </c>
    </row>
    <row r="227" spans="3:3" x14ac:dyDescent="0.2">
      <c r="C227" t="s">
        <v>520</v>
      </c>
    </row>
    <row r="228" spans="3:3" x14ac:dyDescent="0.2">
      <c r="C228" t="s">
        <v>521</v>
      </c>
    </row>
    <row r="229" spans="3:3" x14ac:dyDescent="0.2">
      <c r="C229" t="s">
        <v>522</v>
      </c>
    </row>
    <row r="230" spans="3:3" x14ac:dyDescent="0.2">
      <c r="C230" t="s">
        <v>523</v>
      </c>
    </row>
    <row r="231" spans="3:3" x14ac:dyDescent="0.2">
      <c r="C231" t="s">
        <v>524</v>
      </c>
    </row>
    <row r="232" spans="3:3" x14ac:dyDescent="0.2">
      <c r="C232" t="s">
        <v>525</v>
      </c>
    </row>
    <row r="233" spans="3:3" x14ac:dyDescent="0.2">
      <c r="C233" t="s">
        <v>526</v>
      </c>
    </row>
    <row r="234" spans="3:3" x14ac:dyDescent="0.2">
      <c r="C234" t="s">
        <v>527</v>
      </c>
    </row>
    <row r="235" spans="3:3" x14ac:dyDescent="0.2">
      <c r="C235" t="s">
        <v>528</v>
      </c>
    </row>
    <row r="236" spans="3:3" x14ac:dyDescent="0.2">
      <c r="C236" t="s">
        <v>188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26846-6A90-DD43-B461-0CA6F327D074}">
  <sheetPr codeName="Sheet5"/>
  <dimension ref="A1"/>
  <sheetViews>
    <sheetView workbookViewId="0"/>
  </sheetViews>
  <sheetFormatPr baseColWidth="10" defaultRowHeight="15" x14ac:dyDescent="0.2"/>
  <cols>
    <col min="1" max="1" width="28.6640625" bestFit="1" customWidth="1"/>
  </cols>
  <sheetData>
    <row r="1" spans="1:1" x14ac:dyDescent="0.2">
      <c r="A1" t="str">
        <f>getIntent("action","PF", "DP", "PA")</f>
        <v>Client wants to action the PA for  DP</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AAD73-CF01-AE47-9D40-3519E396236B}">
  <sheetPr codeName="Sheet7" filterMode="1"/>
  <dimension ref="A1:B152"/>
  <sheetViews>
    <sheetView workbookViewId="0">
      <selection activeCell="E161" sqref="E161"/>
    </sheetView>
  </sheetViews>
  <sheetFormatPr baseColWidth="10" defaultRowHeight="15" x14ac:dyDescent="0.2"/>
  <cols>
    <col min="1" max="1" width="18.33203125" bestFit="1" customWidth="1"/>
  </cols>
  <sheetData>
    <row r="1" spans="1:2" ht="16" x14ac:dyDescent="0.2">
      <c r="A1" s="4" t="s">
        <v>139</v>
      </c>
    </row>
    <row r="2" spans="1:2" x14ac:dyDescent="0.2">
      <c r="A2" s="18" t="s">
        <v>539</v>
      </c>
      <c r="B2">
        <f>IF(A2=A1, 1,0)</f>
        <v>0</v>
      </c>
    </row>
    <row r="3" spans="1:2" hidden="1" x14ac:dyDescent="0.2">
      <c r="A3" t="s">
        <v>539</v>
      </c>
      <c r="B3">
        <f t="shared" ref="B3:B66" si="0">IF(A3=A2, 1,0)</f>
        <v>1</v>
      </c>
    </row>
    <row r="4" spans="1:2" x14ac:dyDescent="0.2">
      <c r="A4" s="16" t="s">
        <v>552</v>
      </c>
      <c r="B4">
        <f t="shared" si="0"/>
        <v>0</v>
      </c>
    </row>
    <row r="5" spans="1:2" x14ac:dyDescent="0.2">
      <c r="A5" s="16" t="s">
        <v>548</v>
      </c>
      <c r="B5">
        <f t="shared" si="0"/>
        <v>0</v>
      </c>
    </row>
    <row r="6" spans="1:2" hidden="1" x14ac:dyDescent="0.2">
      <c r="A6" s="18" t="s">
        <v>548</v>
      </c>
      <c r="B6">
        <f t="shared" si="0"/>
        <v>1</v>
      </c>
    </row>
    <row r="7" spans="1:2" hidden="1" x14ac:dyDescent="0.2">
      <c r="A7" s="16" t="s">
        <v>548</v>
      </c>
      <c r="B7">
        <f t="shared" si="0"/>
        <v>1</v>
      </c>
    </row>
    <row r="8" spans="1:2" hidden="1" x14ac:dyDescent="0.2">
      <c r="A8" s="16" t="s">
        <v>548</v>
      </c>
      <c r="B8">
        <f t="shared" si="0"/>
        <v>1</v>
      </c>
    </row>
    <row r="9" spans="1:2" hidden="1" x14ac:dyDescent="0.2">
      <c r="A9" s="16" t="s">
        <v>548</v>
      </c>
      <c r="B9">
        <f t="shared" si="0"/>
        <v>1</v>
      </c>
    </row>
    <row r="10" spans="1:2" hidden="1" x14ac:dyDescent="0.2">
      <c r="A10" s="18" t="s">
        <v>548</v>
      </c>
      <c r="B10">
        <f t="shared" si="0"/>
        <v>1</v>
      </c>
    </row>
    <row r="11" spans="1:2" hidden="1" x14ac:dyDescent="0.2">
      <c r="A11" s="16" t="s">
        <v>548</v>
      </c>
      <c r="B11">
        <f t="shared" si="0"/>
        <v>1</v>
      </c>
    </row>
    <row r="12" spans="1:2" hidden="1" x14ac:dyDescent="0.2">
      <c r="A12" t="s">
        <v>548</v>
      </c>
      <c r="B12">
        <f t="shared" si="0"/>
        <v>1</v>
      </c>
    </row>
    <row r="13" spans="1:2" hidden="1" x14ac:dyDescent="0.2">
      <c r="A13" s="18" t="s">
        <v>548</v>
      </c>
      <c r="B13">
        <f t="shared" si="0"/>
        <v>1</v>
      </c>
    </row>
    <row r="14" spans="1:2" hidden="1" x14ac:dyDescent="0.2">
      <c r="A14" s="16" t="s">
        <v>548</v>
      </c>
      <c r="B14">
        <f t="shared" si="0"/>
        <v>1</v>
      </c>
    </row>
    <row r="15" spans="1:2" x14ac:dyDescent="0.2">
      <c r="A15" s="18" t="s">
        <v>193</v>
      </c>
      <c r="B15">
        <f t="shared" si="0"/>
        <v>0</v>
      </c>
    </row>
    <row r="16" spans="1:2" hidden="1" x14ac:dyDescent="0.2">
      <c r="A16" s="18" t="s">
        <v>193</v>
      </c>
      <c r="B16">
        <f t="shared" si="0"/>
        <v>1</v>
      </c>
    </row>
    <row r="17" spans="1:2" hidden="1" x14ac:dyDescent="0.2">
      <c r="A17" t="s">
        <v>193</v>
      </c>
      <c r="B17">
        <f t="shared" si="0"/>
        <v>1</v>
      </c>
    </row>
    <row r="18" spans="1:2" hidden="1" x14ac:dyDescent="0.2">
      <c r="A18" t="s">
        <v>193</v>
      </c>
      <c r="B18">
        <f t="shared" si="0"/>
        <v>1</v>
      </c>
    </row>
    <row r="19" spans="1:2" hidden="1" x14ac:dyDescent="0.2">
      <c r="A19" s="18" t="s">
        <v>193</v>
      </c>
      <c r="B19">
        <f t="shared" si="0"/>
        <v>1</v>
      </c>
    </row>
    <row r="20" spans="1:2" hidden="1" x14ac:dyDescent="0.2">
      <c r="A20" s="18" t="s">
        <v>193</v>
      </c>
      <c r="B20">
        <f t="shared" si="0"/>
        <v>1</v>
      </c>
    </row>
    <row r="21" spans="1:2" hidden="1" x14ac:dyDescent="0.2">
      <c r="A21" t="s">
        <v>193</v>
      </c>
      <c r="B21">
        <f t="shared" si="0"/>
        <v>1</v>
      </c>
    </row>
    <row r="22" spans="1:2" hidden="1" x14ac:dyDescent="0.2">
      <c r="A22" t="s">
        <v>193</v>
      </c>
      <c r="B22">
        <f t="shared" si="0"/>
        <v>1</v>
      </c>
    </row>
    <row r="23" spans="1:2" hidden="1" x14ac:dyDescent="0.2">
      <c r="A23" s="18" t="s">
        <v>193</v>
      </c>
      <c r="B23">
        <f t="shared" si="0"/>
        <v>1</v>
      </c>
    </row>
    <row r="24" spans="1:2" hidden="1" x14ac:dyDescent="0.2">
      <c r="A24" s="18" t="s">
        <v>193</v>
      </c>
      <c r="B24">
        <f t="shared" si="0"/>
        <v>1</v>
      </c>
    </row>
    <row r="25" spans="1:2" hidden="1" x14ac:dyDescent="0.2">
      <c r="A25" s="18" t="s">
        <v>193</v>
      </c>
      <c r="B25">
        <f t="shared" si="0"/>
        <v>1</v>
      </c>
    </row>
    <row r="26" spans="1:2" hidden="1" x14ac:dyDescent="0.2">
      <c r="A26" t="s">
        <v>193</v>
      </c>
      <c r="B26">
        <f t="shared" si="0"/>
        <v>1</v>
      </c>
    </row>
    <row r="27" spans="1:2" hidden="1" x14ac:dyDescent="0.2">
      <c r="A27" s="16" t="s">
        <v>193</v>
      </c>
      <c r="B27">
        <f t="shared" si="0"/>
        <v>1</v>
      </c>
    </row>
    <row r="28" spans="1:2" hidden="1" x14ac:dyDescent="0.2">
      <c r="A28" s="18" t="s">
        <v>193</v>
      </c>
      <c r="B28">
        <f t="shared" si="0"/>
        <v>1</v>
      </c>
    </row>
    <row r="29" spans="1:2" hidden="1" x14ac:dyDescent="0.2">
      <c r="A29" s="18" t="s">
        <v>193</v>
      </c>
      <c r="B29">
        <f t="shared" si="0"/>
        <v>1</v>
      </c>
    </row>
    <row r="30" spans="1:2" hidden="1" x14ac:dyDescent="0.2">
      <c r="A30" s="18" t="s">
        <v>193</v>
      </c>
      <c r="B30">
        <f t="shared" si="0"/>
        <v>1</v>
      </c>
    </row>
    <row r="31" spans="1:2" hidden="1" x14ac:dyDescent="0.2">
      <c r="A31" s="18" t="s">
        <v>193</v>
      </c>
      <c r="B31">
        <f t="shared" si="0"/>
        <v>1</v>
      </c>
    </row>
    <row r="32" spans="1:2" hidden="1" x14ac:dyDescent="0.2">
      <c r="A32" s="18" t="s">
        <v>193</v>
      </c>
      <c r="B32">
        <f t="shared" si="0"/>
        <v>1</v>
      </c>
    </row>
    <row r="33" spans="1:2" hidden="1" x14ac:dyDescent="0.2">
      <c r="A33" s="18" t="s">
        <v>193</v>
      </c>
      <c r="B33">
        <f t="shared" si="0"/>
        <v>1</v>
      </c>
    </row>
    <row r="34" spans="1:2" x14ac:dyDescent="0.2">
      <c r="A34" s="18" t="s">
        <v>208</v>
      </c>
      <c r="B34">
        <f t="shared" si="0"/>
        <v>0</v>
      </c>
    </row>
    <row r="35" spans="1:2" hidden="1" x14ac:dyDescent="0.2">
      <c r="A35" s="18" t="s">
        <v>208</v>
      </c>
      <c r="B35">
        <f t="shared" si="0"/>
        <v>1</v>
      </c>
    </row>
    <row r="36" spans="1:2" hidden="1" x14ac:dyDescent="0.2">
      <c r="A36" s="16" t="s">
        <v>208</v>
      </c>
      <c r="B36">
        <f t="shared" si="0"/>
        <v>1</v>
      </c>
    </row>
    <row r="37" spans="1:2" hidden="1" x14ac:dyDescent="0.2">
      <c r="A37" s="16" t="s">
        <v>208</v>
      </c>
      <c r="B37">
        <f t="shared" si="0"/>
        <v>1</v>
      </c>
    </row>
    <row r="38" spans="1:2" hidden="1" x14ac:dyDescent="0.2">
      <c r="A38" s="18" t="s">
        <v>208</v>
      </c>
      <c r="B38">
        <f t="shared" si="0"/>
        <v>1</v>
      </c>
    </row>
    <row r="39" spans="1:2" hidden="1" x14ac:dyDescent="0.2">
      <c r="A39" t="s">
        <v>208</v>
      </c>
      <c r="B39">
        <f t="shared" si="0"/>
        <v>1</v>
      </c>
    </row>
    <row r="40" spans="1:2" hidden="1" x14ac:dyDescent="0.2">
      <c r="A40" s="18" t="s">
        <v>208</v>
      </c>
      <c r="B40">
        <f t="shared" si="0"/>
        <v>1</v>
      </c>
    </row>
    <row r="41" spans="1:2" hidden="1" x14ac:dyDescent="0.2">
      <c r="A41" s="16" t="s">
        <v>208</v>
      </c>
      <c r="B41">
        <f t="shared" si="0"/>
        <v>1</v>
      </c>
    </row>
    <row r="42" spans="1:2" hidden="1" x14ac:dyDescent="0.2">
      <c r="A42" s="18" t="s">
        <v>208</v>
      </c>
      <c r="B42">
        <f t="shared" si="0"/>
        <v>1</v>
      </c>
    </row>
    <row r="43" spans="1:2" hidden="1" x14ac:dyDescent="0.2">
      <c r="A43" s="16" t="s">
        <v>208</v>
      </c>
      <c r="B43">
        <f t="shared" si="0"/>
        <v>1</v>
      </c>
    </row>
    <row r="44" spans="1:2" hidden="1" x14ac:dyDescent="0.2">
      <c r="A44" s="18" t="s">
        <v>208</v>
      </c>
      <c r="B44">
        <f t="shared" si="0"/>
        <v>1</v>
      </c>
    </row>
    <row r="45" spans="1:2" hidden="1" x14ac:dyDescent="0.2">
      <c r="A45" s="16" t="s">
        <v>208</v>
      </c>
      <c r="B45">
        <f t="shared" si="0"/>
        <v>1</v>
      </c>
    </row>
    <row r="46" spans="1:2" hidden="1" x14ac:dyDescent="0.2">
      <c r="A46" t="s">
        <v>208</v>
      </c>
      <c r="B46">
        <f t="shared" si="0"/>
        <v>1</v>
      </c>
    </row>
    <row r="47" spans="1:2" hidden="1" x14ac:dyDescent="0.2">
      <c r="A47" s="18" t="s">
        <v>208</v>
      </c>
      <c r="B47">
        <f t="shared" si="0"/>
        <v>1</v>
      </c>
    </row>
    <row r="48" spans="1:2" hidden="1" x14ac:dyDescent="0.2">
      <c r="A48" s="16" t="s">
        <v>208</v>
      </c>
      <c r="B48">
        <f t="shared" si="0"/>
        <v>1</v>
      </c>
    </row>
    <row r="49" spans="1:2" hidden="1" x14ac:dyDescent="0.2">
      <c r="A49" t="s">
        <v>208</v>
      </c>
      <c r="B49">
        <f t="shared" si="0"/>
        <v>1</v>
      </c>
    </row>
    <row r="50" spans="1:2" hidden="1" x14ac:dyDescent="0.2">
      <c r="A50" s="16" t="s">
        <v>208</v>
      </c>
      <c r="B50">
        <f t="shared" si="0"/>
        <v>1</v>
      </c>
    </row>
    <row r="51" spans="1:2" hidden="1" x14ac:dyDescent="0.2">
      <c r="A51" t="s">
        <v>208</v>
      </c>
      <c r="B51">
        <f t="shared" si="0"/>
        <v>1</v>
      </c>
    </row>
    <row r="52" spans="1:2" x14ac:dyDescent="0.2">
      <c r="A52" s="18" t="s">
        <v>532</v>
      </c>
      <c r="B52">
        <f t="shared" si="0"/>
        <v>0</v>
      </c>
    </row>
    <row r="53" spans="1:2" x14ac:dyDescent="0.2">
      <c r="A53" t="s">
        <v>227</v>
      </c>
      <c r="B53">
        <f t="shared" si="0"/>
        <v>0</v>
      </c>
    </row>
    <row r="54" spans="1:2" x14ac:dyDescent="0.2">
      <c r="A54" t="s">
        <v>541</v>
      </c>
      <c r="B54">
        <f t="shared" si="0"/>
        <v>0</v>
      </c>
    </row>
    <row r="55" spans="1:2" hidden="1" x14ac:dyDescent="0.2">
      <c r="A55" s="18" t="s">
        <v>541</v>
      </c>
      <c r="B55">
        <f t="shared" si="0"/>
        <v>1</v>
      </c>
    </row>
    <row r="56" spans="1:2" hidden="1" x14ac:dyDescent="0.2">
      <c r="A56" s="17" t="s">
        <v>541</v>
      </c>
      <c r="B56">
        <f t="shared" si="0"/>
        <v>1</v>
      </c>
    </row>
    <row r="57" spans="1:2" hidden="1" x14ac:dyDescent="0.2">
      <c r="A57" s="16" t="s">
        <v>541</v>
      </c>
      <c r="B57">
        <f t="shared" si="0"/>
        <v>1</v>
      </c>
    </row>
    <row r="58" spans="1:2" hidden="1" x14ac:dyDescent="0.2">
      <c r="A58" s="16" t="s">
        <v>541</v>
      </c>
      <c r="B58">
        <f t="shared" si="0"/>
        <v>1</v>
      </c>
    </row>
    <row r="59" spans="1:2" hidden="1" x14ac:dyDescent="0.2">
      <c r="A59" t="s">
        <v>541</v>
      </c>
      <c r="B59">
        <f t="shared" si="0"/>
        <v>1</v>
      </c>
    </row>
    <row r="60" spans="1:2" x14ac:dyDescent="0.2">
      <c r="A60" s="18" t="s">
        <v>188</v>
      </c>
      <c r="B60">
        <f t="shared" si="0"/>
        <v>0</v>
      </c>
    </row>
    <row r="61" spans="1:2" hidden="1" x14ac:dyDescent="0.2">
      <c r="A61" t="s">
        <v>188</v>
      </c>
      <c r="B61">
        <f t="shared" si="0"/>
        <v>1</v>
      </c>
    </row>
    <row r="62" spans="1:2" hidden="1" x14ac:dyDescent="0.2">
      <c r="A62" t="s">
        <v>188</v>
      </c>
      <c r="B62">
        <f t="shared" si="0"/>
        <v>1</v>
      </c>
    </row>
    <row r="63" spans="1:2" hidden="1" x14ac:dyDescent="0.2">
      <c r="A63" t="s">
        <v>188</v>
      </c>
      <c r="B63">
        <f t="shared" si="0"/>
        <v>1</v>
      </c>
    </row>
    <row r="64" spans="1:2" hidden="1" x14ac:dyDescent="0.2">
      <c r="A64" s="17" t="s">
        <v>188</v>
      </c>
      <c r="B64">
        <f t="shared" si="0"/>
        <v>1</v>
      </c>
    </row>
    <row r="65" spans="1:2" hidden="1" x14ac:dyDescent="0.2">
      <c r="A65" s="18" t="s">
        <v>188</v>
      </c>
      <c r="B65">
        <f t="shared" si="0"/>
        <v>1</v>
      </c>
    </row>
    <row r="66" spans="1:2" hidden="1" x14ac:dyDescent="0.2">
      <c r="A66" s="18" t="s">
        <v>188</v>
      </c>
      <c r="B66">
        <f t="shared" si="0"/>
        <v>1</v>
      </c>
    </row>
    <row r="67" spans="1:2" hidden="1" x14ac:dyDescent="0.2">
      <c r="A67" s="18" t="s">
        <v>188</v>
      </c>
      <c r="B67">
        <f t="shared" ref="B67:B103" si="1">IF(A67=A66, 1,0)</f>
        <v>1</v>
      </c>
    </row>
    <row r="68" spans="1:2" hidden="1" x14ac:dyDescent="0.2">
      <c r="A68" t="s">
        <v>188</v>
      </c>
      <c r="B68">
        <f t="shared" si="1"/>
        <v>1</v>
      </c>
    </row>
    <row r="69" spans="1:2" hidden="1" x14ac:dyDescent="0.2">
      <c r="A69" s="18" t="s">
        <v>188</v>
      </c>
      <c r="B69">
        <f t="shared" si="1"/>
        <v>1</v>
      </c>
    </row>
    <row r="70" spans="1:2" hidden="1" x14ac:dyDescent="0.2">
      <c r="A70" t="s">
        <v>188</v>
      </c>
      <c r="B70">
        <f t="shared" si="1"/>
        <v>1</v>
      </c>
    </row>
    <row r="71" spans="1:2" hidden="1" x14ac:dyDescent="0.2">
      <c r="A71" s="17" t="s">
        <v>188</v>
      </c>
      <c r="B71">
        <f t="shared" si="1"/>
        <v>1</v>
      </c>
    </row>
    <row r="72" spans="1:2" hidden="1" x14ac:dyDescent="0.2">
      <c r="A72" s="18" t="s">
        <v>188</v>
      </c>
      <c r="B72">
        <f t="shared" si="1"/>
        <v>1</v>
      </c>
    </row>
    <row r="73" spans="1:2" hidden="1" x14ac:dyDescent="0.2">
      <c r="A73" t="s">
        <v>188</v>
      </c>
      <c r="B73">
        <f t="shared" si="1"/>
        <v>1</v>
      </c>
    </row>
    <row r="74" spans="1:2" hidden="1" x14ac:dyDescent="0.2">
      <c r="A74" s="18" t="s">
        <v>188</v>
      </c>
      <c r="B74">
        <f t="shared" si="1"/>
        <v>1</v>
      </c>
    </row>
    <row r="75" spans="1:2" hidden="1" x14ac:dyDescent="0.2">
      <c r="A75" t="s">
        <v>188</v>
      </c>
      <c r="B75">
        <f t="shared" si="1"/>
        <v>1</v>
      </c>
    </row>
    <row r="76" spans="1:2" hidden="1" x14ac:dyDescent="0.2">
      <c r="A76" t="s">
        <v>188</v>
      </c>
      <c r="B76">
        <f t="shared" si="1"/>
        <v>1</v>
      </c>
    </row>
    <row r="77" spans="1:2" hidden="1" x14ac:dyDescent="0.2">
      <c r="A77" s="18" t="s">
        <v>188</v>
      </c>
      <c r="B77">
        <f t="shared" si="1"/>
        <v>1</v>
      </c>
    </row>
    <row r="78" spans="1:2" hidden="1" x14ac:dyDescent="0.2">
      <c r="A78" s="18" t="s">
        <v>188</v>
      </c>
      <c r="B78">
        <f t="shared" si="1"/>
        <v>1</v>
      </c>
    </row>
    <row r="79" spans="1:2" hidden="1" x14ac:dyDescent="0.2">
      <c r="A79" s="17" t="s">
        <v>188</v>
      </c>
      <c r="B79">
        <f t="shared" si="1"/>
        <v>1</v>
      </c>
    </row>
    <row r="80" spans="1:2" hidden="1" x14ac:dyDescent="0.2">
      <c r="A80" s="18" t="s">
        <v>188</v>
      </c>
      <c r="B80">
        <f t="shared" si="1"/>
        <v>1</v>
      </c>
    </row>
    <row r="81" spans="1:2" hidden="1" x14ac:dyDescent="0.2">
      <c r="A81" t="s">
        <v>188</v>
      </c>
      <c r="B81">
        <f t="shared" si="1"/>
        <v>1</v>
      </c>
    </row>
    <row r="82" spans="1:2" hidden="1" x14ac:dyDescent="0.2">
      <c r="A82" s="18" t="s">
        <v>188</v>
      </c>
      <c r="B82">
        <f t="shared" si="1"/>
        <v>1</v>
      </c>
    </row>
    <row r="83" spans="1:2" hidden="1" x14ac:dyDescent="0.2">
      <c r="A83" s="18" t="s">
        <v>188</v>
      </c>
      <c r="B83">
        <f t="shared" si="1"/>
        <v>1</v>
      </c>
    </row>
    <row r="84" spans="1:2" hidden="1" x14ac:dyDescent="0.2">
      <c r="A84" s="18" t="s">
        <v>188</v>
      </c>
      <c r="B84">
        <f t="shared" si="1"/>
        <v>1</v>
      </c>
    </row>
    <row r="85" spans="1:2" hidden="1" x14ac:dyDescent="0.2">
      <c r="A85" s="18" t="s">
        <v>188</v>
      </c>
      <c r="B85">
        <f t="shared" si="1"/>
        <v>1</v>
      </c>
    </row>
    <row r="86" spans="1:2" hidden="1" x14ac:dyDescent="0.2">
      <c r="A86" s="17" t="s">
        <v>188</v>
      </c>
      <c r="B86">
        <f t="shared" si="1"/>
        <v>1</v>
      </c>
    </row>
    <row r="87" spans="1:2" hidden="1" x14ac:dyDescent="0.2">
      <c r="A87" t="s">
        <v>188</v>
      </c>
      <c r="B87">
        <f t="shared" si="1"/>
        <v>1</v>
      </c>
    </row>
    <row r="88" spans="1:2" hidden="1" x14ac:dyDescent="0.2">
      <c r="A88" t="s">
        <v>188</v>
      </c>
      <c r="B88">
        <f t="shared" si="1"/>
        <v>1</v>
      </c>
    </row>
    <row r="89" spans="1:2" hidden="1" x14ac:dyDescent="0.2">
      <c r="A89" s="18" t="s">
        <v>188</v>
      </c>
      <c r="B89">
        <f t="shared" si="1"/>
        <v>1</v>
      </c>
    </row>
    <row r="90" spans="1:2" hidden="1" x14ac:dyDescent="0.2">
      <c r="A90" s="18" t="s">
        <v>188</v>
      </c>
      <c r="B90">
        <f t="shared" si="1"/>
        <v>1</v>
      </c>
    </row>
    <row r="91" spans="1:2" hidden="1" x14ac:dyDescent="0.2">
      <c r="A91" s="18" t="s">
        <v>188</v>
      </c>
      <c r="B91">
        <f t="shared" si="1"/>
        <v>1</v>
      </c>
    </row>
    <row r="92" spans="1:2" hidden="1" x14ac:dyDescent="0.2">
      <c r="A92" s="18" t="s">
        <v>188</v>
      </c>
      <c r="B92">
        <f t="shared" si="1"/>
        <v>1</v>
      </c>
    </row>
    <row r="93" spans="1:2" hidden="1" x14ac:dyDescent="0.2">
      <c r="A93" s="18" t="s">
        <v>188</v>
      </c>
      <c r="B93">
        <f t="shared" si="1"/>
        <v>1</v>
      </c>
    </row>
    <row r="94" spans="1:2" hidden="1" x14ac:dyDescent="0.2">
      <c r="A94" t="s">
        <v>188</v>
      </c>
      <c r="B94">
        <f t="shared" si="1"/>
        <v>1</v>
      </c>
    </row>
    <row r="95" spans="1:2" hidden="1" x14ac:dyDescent="0.2">
      <c r="A95" s="17" t="s">
        <v>188</v>
      </c>
      <c r="B95">
        <f t="shared" si="1"/>
        <v>1</v>
      </c>
    </row>
    <row r="96" spans="1:2" hidden="1" x14ac:dyDescent="0.2">
      <c r="A96" s="17" t="s">
        <v>188</v>
      </c>
      <c r="B96">
        <f t="shared" si="1"/>
        <v>1</v>
      </c>
    </row>
    <row r="97" spans="1:2" hidden="1" x14ac:dyDescent="0.2">
      <c r="A97" s="18" t="s">
        <v>188</v>
      </c>
      <c r="B97">
        <f t="shared" si="1"/>
        <v>1</v>
      </c>
    </row>
    <row r="98" spans="1:2" hidden="1" x14ac:dyDescent="0.2">
      <c r="A98" t="s">
        <v>188</v>
      </c>
      <c r="B98">
        <f t="shared" si="1"/>
        <v>1</v>
      </c>
    </row>
    <row r="99" spans="1:2" hidden="1" x14ac:dyDescent="0.2">
      <c r="A99" t="s">
        <v>188</v>
      </c>
      <c r="B99">
        <f t="shared" si="1"/>
        <v>1</v>
      </c>
    </row>
    <row r="100" spans="1:2" hidden="1" x14ac:dyDescent="0.2">
      <c r="A100" s="18" t="s">
        <v>188</v>
      </c>
      <c r="B100">
        <f t="shared" si="1"/>
        <v>1</v>
      </c>
    </row>
    <row r="101" spans="1:2" hidden="1" x14ac:dyDescent="0.2">
      <c r="A101" t="s">
        <v>188</v>
      </c>
      <c r="B101">
        <f t="shared" si="1"/>
        <v>1</v>
      </c>
    </row>
    <row r="102" spans="1:2" hidden="1" x14ac:dyDescent="0.2">
      <c r="A102" t="s">
        <v>188</v>
      </c>
      <c r="B102">
        <f t="shared" si="1"/>
        <v>1</v>
      </c>
    </row>
    <row r="103" spans="1:2" hidden="1" x14ac:dyDescent="0.2">
      <c r="A103" t="s">
        <v>188</v>
      </c>
      <c r="B103">
        <f t="shared" si="1"/>
        <v>1</v>
      </c>
    </row>
    <row r="104" spans="1:2" hidden="1" x14ac:dyDescent="0.2">
      <c r="A104" s="10"/>
    </row>
    <row r="105" spans="1:2" hidden="1" x14ac:dyDescent="0.2">
      <c r="A105" s="18"/>
    </row>
    <row r="106" spans="1:2" hidden="1" x14ac:dyDescent="0.2"/>
    <row r="107" spans="1:2" hidden="1" x14ac:dyDescent="0.2">
      <c r="A107" s="17"/>
    </row>
    <row r="108" spans="1:2" hidden="1" x14ac:dyDescent="0.2">
      <c r="A108" s="17"/>
    </row>
    <row r="109" spans="1:2" hidden="1" x14ac:dyDescent="0.2">
      <c r="A109" s="17"/>
    </row>
    <row r="110" spans="1:2" hidden="1" x14ac:dyDescent="0.2"/>
    <row r="111" spans="1:2" hidden="1" x14ac:dyDescent="0.2">
      <c r="A111" s="18"/>
    </row>
    <row r="112" spans="1:2" hidden="1" x14ac:dyDescent="0.2">
      <c r="A112" s="18"/>
    </row>
    <row r="113" spans="1:1" hidden="1" x14ac:dyDescent="0.2">
      <c r="A113" s="17"/>
    </row>
    <row r="114" spans="1:1" hidden="1" x14ac:dyDescent="0.2"/>
    <row r="115" spans="1:1" hidden="1" x14ac:dyDescent="0.2">
      <c r="A115" s="18"/>
    </row>
    <row r="116" spans="1:1" hidden="1" x14ac:dyDescent="0.2">
      <c r="A116" s="18"/>
    </row>
    <row r="117" spans="1:1" hidden="1" x14ac:dyDescent="0.2"/>
    <row r="118" spans="1:1" hidden="1" x14ac:dyDescent="0.2">
      <c r="A118" s="18"/>
    </row>
    <row r="119" spans="1:1" hidden="1" x14ac:dyDescent="0.2">
      <c r="A119" s="17"/>
    </row>
    <row r="120" spans="1:1" hidden="1" x14ac:dyDescent="0.2">
      <c r="A120" s="18"/>
    </row>
    <row r="121" spans="1:1" hidden="1" x14ac:dyDescent="0.2">
      <c r="A121" s="17"/>
    </row>
    <row r="122" spans="1:1" hidden="1" x14ac:dyDescent="0.2">
      <c r="A122" s="18"/>
    </row>
    <row r="123" spans="1:1" hidden="1" x14ac:dyDescent="0.2"/>
    <row r="124" spans="1:1" hidden="1" x14ac:dyDescent="0.2">
      <c r="A124" s="18"/>
    </row>
    <row r="125" spans="1:1" hidden="1" x14ac:dyDescent="0.2"/>
    <row r="126" spans="1:1" hidden="1" x14ac:dyDescent="0.2">
      <c r="A126" s="18"/>
    </row>
    <row r="127" spans="1:1" hidden="1" x14ac:dyDescent="0.2">
      <c r="A127" s="18"/>
    </row>
    <row r="128" spans="1:1" hidden="1" x14ac:dyDescent="0.2"/>
    <row r="129" spans="1:1" hidden="1" x14ac:dyDescent="0.2"/>
    <row r="130" spans="1:1" hidden="1" x14ac:dyDescent="0.2">
      <c r="A130" s="17"/>
    </row>
    <row r="131" spans="1:1" hidden="1" x14ac:dyDescent="0.2">
      <c r="A131" s="18"/>
    </row>
    <row r="132" spans="1:1" hidden="1" x14ac:dyDescent="0.2"/>
    <row r="133" spans="1:1" hidden="1" x14ac:dyDescent="0.2">
      <c r="A133" s="18"/>
    </row>
    <row r="134" spans="1:1" hidden="1" x14ac:dyDescent="0.2">
      <c r="A134" s="17"/>
    </row>
    <row r="135" spans="1:1" hidden="1" x14ac:dyDescent="0.2">
      <c r="A135" s="18"/>
    </row>
    <row r="136" spans="1:1" hidden="1" x14ac:dyDescent="0.2">
      <c r="A136" s="17"/>
    </row>
    <row r="137" spans="1:1" hidden="1" x14ac:dyDescent="0.2">
      <c r="A137" s="18"/>
    </row>
    <row r="138" spans="1:1" hidden="1" x14ac:dyDescent="0.2">
      <c r="A138" s="18"/>
    </row>
    <row r="139" spans="1:1" hidden="1" x14ac:dyDescent="0.2">
      <c r="A139" s="16"/>
    </row>
    <row r="140" spans="1:1" hidden="1" x14ac:dyDescent="0.2">
      <c r="A140" s="18"/>
    </row>
    <row r="141" spans="1:1" hidden="1" x14ac:dyDescent="0.2">
      <c r="A141" s="18"/>
    </row>
    <row r="142" spans="1:1" hidden="1" x14ac:dyDescent="0.2">
      <c r="A142" s="18"/>
    </row>
    <row r="143" spans="1:1" hidden="1" x14ac:dyDescent="0.2"/>
    <row r="144" spans="1:1" hidden="1" x14ac:dyDescent="0.2">
      <c r="A144" s="18"/>
    </row>
    <row r="145" spans="1:1" hidden="1" x14ac:dyDescent="0.2">
      <c r="A145" s="18"/>
    </row>
    <row r="146" spans="1:1" hidden="1" x14ac:dyDescent="0.2">
      <c r="A146" s="17"/>
    </row>
    <row r="147" spans="1:1" hidden="1" x14ac:dyDescent="0.2">
      <c r="A147" s="18"/>
    </row>
    <row r="148" spans="1:1" hidden="1" x14ac:dyDescent="0.2">
      <c r="A148" s="17"/>
    </row>
    <row r="149" spans="1:1" hidden="1" x14ac:dyDescent="0.2"/>
    <row r="150" spans="1:1" hidden="1" x14ac:dyDescent="0.2">
      <c r="A150" s="18"/>
    </row>
    <row r="151" spans="1:1" hidden="1" x14ac:dyDescent="0.2"/>
    <row r="152" spans="1:1" hidden="1" x14ac:dyDescent="0.2"/>
  </sheetData>
  <autoFilter ref="A1:B152" xr:uid="{372E1716-0A83-5043-8428-28F5F279CEF1}">
    <filterColumn colId="1">
      <filters>
        <filter val="0"/>
      </filters>
    </filterColumn>
  </autoFilter>
  <sortState ref="A2:A151">
    <sortCondition ref="A2:A151"/>
  </sortState>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E4359A91-FE80-704A-9FC7-08C1B5DD2BA0}">
          <x14:formula1>
            <xm:f>structure!$F:$F</xm:f>
          </x14:formula1>
          <xm:sqref>A1:A4 A137:A140 A9:A17 A117:A118 A122:A125 A49 A36 A72:A73 A97:A98 A114:A115 A142:A143 A7 A21:A28 A45:A47 A38:A43 A149:A1048576 A57:A63 A100 A102 A105:A106 A89:A92 A94 A80:A85 A31:A34 A51:A55 A75:A78 A110:A112 A127:A129 A131:A133 A135 A145 A147 A65:A70</xm:sqref>
        </x14:dataValidation>
        <x14:dataValidation type="list" allowBlank="1" showInputMessage="1" showErrorMessage="1" xr:uid="{6AF80D79-5B20-4F47-AE42-DF8376C0B008}">
          <x14:formula1>
            <xm:f>structure!$A$2:$A$10</xm:f>
          </x14:formula1>
          <xm:sqref>A29:A30 A44 A48 A50 A93 A116 A126 A141 A5:A6 A144 A8 A35 A37 A74 A87:A88 A99 A101 A103 A120 A18:A20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8A82B-1023-8F47-AE68-860E4A1FD3BC}">
  <sheetPr codeName="Sheet8"/>
  <dimension ref="B1:C236"/>
  <sheetViews>
    <sheetView workbookViewId="0">
      <selection activeCell="C245" sqref="C245"/>
    </sheetView>
  </sheetViews>
  <sheetFormatPr baseColWidth="10" defaultRowHeight="15" x14ac:dyDescent="0.2"/>
  <cols>
    <col min="2" max="2" width="27.1640625" customWidth="1"/>
    <col min="3" max="3" width="38.33203125" customWidth="1"/>
  </cols>
  <sheetData>
    <row r="1" spans="2:3" x14ac:dyDescent="0.2">
      <c r="B1" s="3" t="s">
        <v>136</v>
      </c>
      <c r="C1" t="s">
        <v>603</v>
      </c>
    </row>
    <row r="2" spans="2:3" x14ac:dyDescent="0.2">
      <c r="B2" t="s">
        <v>142</v>
      </c>
      <c r="C2" t="s">
        <v>612</v>
      </c>
    </row>
    <row r="3" spans="2:3" x14ac:dyDescent="0.2">
      <c r="B3" t="s">
        <v>148</v>
      </c>
      <c r="C3" t="s">
        <v>612</v>
      </c>
    </row>
    <row r="4" spans="2:3" x14ac:dyDescent="0.2">
      <c r="B4" t="s">
        <v>154</v>
      </c>
      <c r="C4" t="s">
        <v>610</v>
      </c>
    </row>
    <row r="5" spans="2:3" x14ac:dyDescent="0.2">
      <c r="B5" t="s">
        <v>160</v>
      </c>
      <c r="C5" t="s">
        <v>610</v>
      </c>
    </row>
    <row r="6" spans="2:3" x14ac:dyDescent="0.2">
      <c r="B6" t="s">
        <v>166</v>
      </c>
      <c r="C6" t="s">
        <v>604</v>
      </c>
    </row>
    <row r="7" spans="2:3" x14ac:dyDescent="0.2">
      <c r="B7" t="s">
        <v>172</v>
      </c>
      <c r="C7" t="s">
        <v>604</v>
      </c>
    </row>
    <row r="8" spans="2:3" x14ac:dyDescent="0.2">
      <c r="B8" t="s">
        <v>178</v>
      </c>
      <c r="C8" t="s">
        <v>604</v>
      </c>
    </row>
    <row r="9" spans="2:3" x14ac:dyDescent="0.2">
      <c r="B9" t="s">
        <v>184</v>
      </c>
      <c r="C9" t="s">
        <v>604</v>
      </c>
    </row>
    <row r="10" spans="2:3" x14ac:dyDescent="0.2">
      <c r="B10" t="s">
        <v>190</v>
      </c>
      <c r="C10" t="s">
        <v>604</v>
      </c>
    </row>
    <row r="11" spans="2:3" x14ac:dyDescent="0.2">
      <c r="B11" t="s">
        <v>195</v>
      </c>
      <c r="C11" t="s">
        <v>610</v>
      </c>
    </row>
    <row r="12" spans="2:3" x14ac:dyDescent="0.2">
      <c r="B12" t="s">
        <v>200</v>
      </c>
      <c r="C12" t="s">
        <v>371</v>
      </c>
    </row>
    <row r="13" spans="2:3" x14ac:dyDescent="0.2">
      <c r="B13" t="s">
        <v>205</v>
      </c>
      <c r="C13" t="s">
        <v>371</v>
      </c>
    </row>
    <row r="14" spans="2:3" x14ac:dyDescent="0.2">
      <c r="B14" t="s">
        <v>210</v>
      </c>
      <c r="C14" t="s">
        <v>604</v>
      </c>
    </row>
    <row r="15" spans="2:3" x14ac:dyDescent="0.2">
      <c r="B15" t="s">
        <v>143</v>
      </c>
      <c r="C15" t="s">
        <v>188</v>
      </c>
    </row>
    <row r="16" spans="2:3" x14ac:dyDescent="0.2">
      <c r="B16" t="s">
        <v>219</v>
      </c>
      <c r="C16" t="s">
        <v>611</v>
      </c>
    </row>
    <row r="17" spans="2:3" x14ac:dyDescent="0.2">
      <c r="B17" t="s">
        <v>224</v>
      </c>
      <c r="C17" t="s">
        <v>613</v>
      </c>
    </row>
    <row r="18" spans="2:3" x14ac:dyDescent="0.2">
      <c r="B18" t="s">
        <v>229</v>
      </c>
      <c r="C18" t="s">
        <v>605</v>
      </c>
    </row>
    <row r="19" spans="2:3" x14ac:dyDescent="0.2">
      <c r="B19" t="s">
        <v>234</v>
      </c>
      <c r="C19" t="s">
        <v>150</v>
      </c>
    </row>
    <row r="20" spans="2:3" x14ac:dyDescent="0.2">
      <c r="B20" t="s">
        <v>239</v>
      </c>
      <c r="C20" t="s">
        <v>610</v>
      </c>
    </row>
    <row r="21" spans="2:3" x14ac:dyDescent="0.2">
      <c r="B21" t="s">
        <v>244</v>
      </c>
      <c r="C21" t="s">
        <v>371</v>
      </c>
    </row>
    <row r="22" spans="2:3" x14ac:dyDescent="0.2">
      <c r="B22" t="s">
        <v>249</v>
      </c>
      <c r="C22" t="s">
        <v>613</v>
      </c>
    </row>
    <row r="23" spans="2:3" x14ac:dyDescent="0.2">
      <c r="B23" t="s">
        <v>254</v>
      </c>
      <c r="C23" t="s">
        <v>610</v>
      </c>
    </row>
    <row r="24" spans="2:3" x14ac:dyDescent="0.2">
      <c r="B24" t="s">
        <v>257</v>
      </c>
      <c r="C24" t="s">
        <v>604</v>
      </c>
    </row>
    <row r="25" spans="2:3" x14ac:dyDescent="0.2">
      <c r="B25" t="s">
        <v>260</v>
      </c>
      <c r="C25" t="s">
        <v>604</v>
      </c>
    </row>
    <row r="26" spans="2:3" x14ac:dyDescent="0.2">
      <c r="B26" t="s">
        <v>263</v>
      </c>
      <c r="C26" t="s">
        <v>604</v>
      </c>
    </row>
    <row r="27" spans="2:3" x14ac:dyDescent="0.2">
      <c r="B27" t="s">
        <v>266</v>
      </c>
      <c r="C27" t="s">
        <v>606</v>
      </c>
    </row>
    <row r="28" spans="2:3" x14ac:dyDescent="0.2">
      <c r="B28" t="s">
        <v>269</v>
      </c>
      <c r="C28" t="s">
        <v>606</v>
      </c>
    </row>
    <row r="29" spans="2:3" x14ac:dyDescent="0.2">
      <c r="B29" t="s">
        <v>272</v>
      </c>
      <c r="C29" t="s">
        <v>606</v>
      </c>
    </row>
    <row r="30" spans="2:3" x14ac:dyDescent="0.2">
      <c r="B30" t="s">
        <v>275</v>
      </c>
      <c r="C30" t="s">
        <v>492</v>
      </c>
    </row>
    <row r="31" spans="2:3" x14ac:dyDescent="0.2">
      <c r="B31" t="s">
        <v>278</v>
      </c>
      <c r="C31" t="s">
        <v>188</v>
      </c>
    </row>
    <row r="32" spans="2:3" x14ac:dyDescent="0.2">
      <c r="B32" t="s">
        <v>281</v>
      </c>
      <c r="C32" t="s">
        <v>150</v>
      </c>
    </row>
    <row r="33" spans="2:3" x14ac:dyDescent="0.2">
      <c r="B33" t="s">
        <v>284</v>
      </c>
      <c r="C33" t="s">
        <v>606</v>
      </c>
    </row>
    <row r="34" spans="2:3" x14ac:dyDescent="0.2">
      <c r="B34" t="s">
        <v>286</v>
      </c>
      <c r="C34" t="s">
        <v>610</v>
      </c>
    </row>
    <row r="35" spans="2:3" x14ac:dyDescent="0.2">
      <c r="B35" t="s">
        <v>174</v>
      </c>
      <c r="C35" t="s">
        <v>150</v>
      </c>
    </row>
    <row r="36" spans="2:3" x14ac:dyDescent="0.2">
      <c r="B36" t="s">
        <v>289</v>
      </c>
      <c r="C36" t="s">
        <v>150</v>
      </c>
    </row>
    <row r="37" spans="2:3" x14ac:dyDescent="0.2">
      <c r="B37" t="s">
        <v>291</v>
      </c>
      <c r="C37" t="s">
        <v>613</v>
      </c>
    </row>
    <row r="38" spans="2:3" x14ac:dyDescent="0.2">
      <c r="B38" t="s">
        <v>293</v>
      </c>
      <c r="C38" t="s">
        <v>610</v>
      </c>
    </row>
    <row r="39" spans="2:3" x14ac:dyDescent="0.2">
      <c r="B39" t="s">
        <v>295</v>
      </c>
      <c r="C39" t="s">
        <v>608</v>
      </c>
    </row>
    <row r="40" spans="2:3" x14ac:dyDescent="0.2">
      <c r="B40" t="s">
        <v>297</v>
      </c>
      <c r="C40" t="s">
        <v>610</v>
      </c>
    </row>
    <row r="41" spans="2:3" x14ac:dyDescent="0.2">
      <c r="B41" t="s">
        <v>299</v>
      </c>
      <c r="C41" t="s">
        <v>610</v>
      </c>
    </row>
    <row r="42" spans="2:3" x14ac:dyDescent="0.2">
      <c r="B42" t="s">
        <v>301</v>
      </c>
      <c r="C42" t="s">
        <v>604</v>
      </c>
    </row>
    <row r="43" spans="2:3" x14ac:dyDescent="0.2">
      <c r="B43" t="s">
        <v>303</v>
      </c>
      <c r="C43" t="s">
        <v>371</v>
      </c>
    </row>
    <row r="44" spans="2:3" x14ac:dyDescent="0.2">
      <c r="B44" t="s">
        <v>305</v>
      </c>
      <c r="C44" t="s">
        <v>611</v>
      </c>
    </row>
    <row r="45" spans="2:3" x14ac:dyDescent="0.2">
      <c r="B45" t="s">
        <v>307</v>
      </c>
      <c r="C45" t="s">
        <v>608</v>
      </c>
    </row>
    <row r="46" spans="2:3" x14ac:dyDescent="0.2">
      <c r="B46" t="s">
        <v>309</v>
      </c>
      <c r="C46" t="s">
        <v>613</v>
      </c>
    </row>
    <row r="47" spans="2:3" x14ac:dyDescent="0.2">
      <c r="B47" t="s">
        <v>311</v>
      </c>
      <c r="C47" t="s">
        <v>613</v>
      </c>
    </row>
    <row r="48" spans="2:3" x14ac:dyDescent="0.2">
      <c r="B48" t="s">
        <v>313</v>
      </c>
      <c r="C48" t="s">
        <v>613</v>
      </c>
    </row>
    <row r="49" spans="2:3" x14ac:dyDescent="0.2">
      <c r="B49" t="s">
        <v>315</v>
      </c>
      <c r="C49" t="s">
        <v>607</v>
      </c>
    </row>
    <row r="50" spans="2:3" x14ac:dyDescent="0.2">
      <c r="B50" t="s">
        <v>317</v>
      </c>
      <c r="C50" t="s">
        <v>607</v>
      </c>
    </row>
    <row r="51" spans="2:3" x14ac:dyDescent="0.2">
      <c r="B51" t="s">
        <v>319</v>
      </c>
      <c r="C51" t="s">
        <v>607</v>
      </c>
    </row>
    <row r="52" spans="2:3" x14ac:dyDescent="0.2">
      <c r="B52" t="s">
        <v>321</v>
      </c>
      <c r="C52" t="s">
        <v>150</v>
      </c>
    </row>
    <row r="53" spans="2:3" x14ac:dyDescent="0.2">
      <c r="B53" t="s">
        <v>323</v>
      </c>
      <c r="C53" t="s">
        <v>607</v>
      </c>
    </row>
    <row r="54" spans="2:3" x14ac:dyDescent="0.2">
      <c r="B54" t="s">
        <v>325</v>
      </c>
      <c r="C54" t="s">
        <v>613</v>
      </c>
    </row>
    <row r="55" spans="2:3" x14ac:dyDescent="0.2">
      <c r="B55" t="s">
        <v>327</v>
      </c>
      <c r="C55" t="s">
        <v>606</v>
      </c>
    </row>
    <row r="56" spans="2:3" x14ac:dyDescent="0.2">
      <c r="B56" t="s">
        <v>329</v>
      </c>
      <c r="C56" t="s">
        <v>150</v>
      </c>
    </row>
    <row r="57" spans="2:3" x14ac:dyDescent="0.2">
      <c r="B57" t="s">
        <v>331</v>
      </c>
      <c r="C57" t="s">
        <v>188</v>
      </c>
    </row>
    <row r="58" spans="2:3" x14ac:dyDescent="0.2">
      <c r="B58" t="s">
        <v>333</v>
      </c>
      <c r="C58" t="s">
        <v>604</v>
      </c>
    </row>
    <row r="59" spans="2:3" x14ac:dyDescent="0.2">
      <c r="B59" t="s">
        <v>335</v>
      </c>
      <c r="C59" t="s">
        <v>371</v>
      </c>
    </row>
    <row r="60" spans="2:3" x14ac:dyDescent="0.2">
      <c r="B60" t="s">
        <v>337</v>
      </c>
      <c r="C60" t="s">
        <v>371</v>
      </c>
    </row>
    <row r="61" spans="2:3" x14ac:dyDescent="0.2">
      <c r="B61" t="s">
        <v>339</v>
      </c>
      <c r="C61" t="s">
        <v>371</v>
      </c>
    </row>
    <row r="62" spans="2:3" x14ac:dyDescent="0.2">
      <c r="B62" t="s">
        <v>341</v>
      </c>
      <c r="C62" t="s">
        <v>188</v>
      </c>
    </row>
    <row r="63" spans="2:3" x14ac:dyDescent="0.2">
      <c r="B63" t="s">
        <v>343</v>
      </c>
      <c r="C63" t="s">
        <v>612</v>
      </c>
    </row>
    <row r="64" spans="2:3" x14ac:dyDescent="0.2">
      <c r="B64" t="s">
        <v>280</v>
      </c>
      <c r="C64" t="s">
        <v>371</v>
      </c>
    </row>
    <row r="65" spans="2:3" x14ac:dyDescent="0.2">
      <c r="B65" t="s">
        <v>346</v>
      </c>
      <c r="C65" t="s">
        <v>613</v>
      </c>
    </row>
    <row r="66" spans="2:3" x14ac:dyDescent="0.2">
      <c r="B66" t="s">
        <v>348</v>
      </c>
      <c r="C66" t="s">
        <v>613</v>
      </c>
    </row>
    <row r="67" spans="2:3" x14ac:dyDescent="0.2">
      <c r="B67" t="s">
        <v>350</v>
      </c>
      <c r="C67" t="s">
        <v>371</v>
      </c>
    </row>
    <row r="68" spans="2:3" x14ac:dyDescent="0.2">
      <c r="B68" t="s">
        <v>352</v>
      </c>
      <c r="C68" t="s">
        <v>611</v>
      </c>
    </row>
    <row r="69" spans="2:3" x14ac:dyDescent="0.2">
      <c r="B69" t="s">
        <v>354</v>
      </c>
      <c r="C69" t="s">
        <v>604</v>
      </c>
    </row>
    <row r="70" spans="2:3" x14ac:dyDescent="0.2">
      <c r="B70" t="s">
        <v>356</v>
      </c>
      <c r="C70" t="s">
        <v>611</v>
      </c>
    </row>
    <row r="71" spans="2:3" x14ac:dyDescent="0.2">
      <c r="B71" t="s">
        <v>358</v>
      </c>
      <c r="C71" t="s">
        <v>611</v>
      </c>
    </row>
    <row r="72" spans="2:3" x14ac:dyDescent="0.2">
      <c r="B72" t="s">
        <v>360</v>
      </c>
      <c r="C72" t="s">
        <v>188</v>
      </c>
    </row>
    <row r="73" spans="2:3" x14ac:dyDescent="0.2">
      <c r="B73" t="s">
        <v>362</v>
      </c>
      <c r="C73" t="s">
        <v>613</v>
      </c>
    </row>
    <row r="74" spans="2:3" x14ac:dyDescent="0.2">
      <c r="B74" t="s">
        <v>364</v>
      </c>
      <c r="C74" t="s">
        <v>611</v>
      </c>
    </row>
    <row r="75" spans="2:3" x14ac:dyDescent="0.2">
      <c r="B75" t="s">
        <v>366</v>
      </c>
      <c r="C75" t="s">
        <v>150</v>
      </c>
    </row>
    <row r="76" spans="2:3" x14ac:dyDescent="0.2">
      <c r="B76" t="s">
        <v>368</v>
      </c>
      <c r="C76" t="s">
        <v>611</v>
      </c>
    </row>
    <row r="77" spans="2:3" x14ac:dyDescent="0.2">
      <c r="B77" t="s">
        <v>370</v>
      </c>
      <c r="C77" t="s">
        <v>150</v>
      </c>
    </row>
    <row r="78" spans="2:3" x14ac:dyDescent="0.2">
      <c r="B78" t="s">
        <v>372</v>
      </c>
      <c r="C78" t="s">
        <v>604</v>
      </c>
    </row>
    <row r="79" spans="2:3" x14ac:dyDescent="0.2">
      <c r="B79" t="s">
        <v>374</v>
      </c>
      <c r="C79" t="s">
        <v>150</v>
      </c>
    </row>
    <row r="80" spans="2:3" x14ac:dyDescent="0.2">
      <c r="B80" t="s">
        <v>376</v>
      </c>
      <c r="C80" t="s">
        <v>150</v>
      </c>
    </row>
    <row r="81" spans="2:3" x14ac:dyDescent="0.2">
      <c r="B81" t="s">
        <v>378</v>
      </c>
      <c r="C81" t="s">
        <v>150</v>
      </c>
    </row>
    <row r="82" spans="2:3" x14ac:dyDescent="0.2">
      <c r="B82" t="s">
        <v>380</v>
      </c>
      <c r="C82" t="s">
        <v>371</v>
      </c>
    </row>
    <row r="83" spans="2:3" x14ac:dyDescent="0.2">
      <c r="B83" t="s">
        <v>382</v>
      </c>
      <c r="C83" t="s">
        <v>613</v>
      </c>
    </row>
    <row r="84" spans="2:3" x14ac:dyDescent="0.2">
      <c r="B84" t="s">
        <v>283</v>
      </c>
      <c r="C84" t="s">
        <v>150</v>
      </c>
    </row>
    <row r="85" spans="2:3" x14ac:dyDescent="0.2">
      <c r="B85" t="s">
        <v>384</v>
      </c>
      <c r="C85" t="s">
        <v>188</v>
      </c>
    </row>
    <row r="86" spans="2:3" x14ac:dyDescent="0.2">
      <c r="B86" t="s">
        <v>385</v>
      </c>
      <c r="C86" t="s">
        <v>607</v>
      </c>
    </row>
    <row r="87" spans="2:3" x14ac:dyDescent="0.2">
      <c r="B87" t="s">
        <v>386</v>
      </c>
      <c r="C87" t="s">
        <v>371</v>
      </c>
    </row>
    <row r="88" spans="2:3" x14ac:dyDescent="0.2">
      <c r="B88" t="s">
        <v>387</v>
      </c>
      <c r="C88" t="s">
        <v>606</v>
      </c>
    </row>
    <row r="89" spans="2:3" x14ac:dyDescent="0.2">
      <c r="B89" t="s">
        <v>388</v>
      </c>
      <c r="C89" t="s">
        <v>604</v>
      </c>
    </row>
    <row r="90" spans="2:3" x14ac:dyDescent="0.2">
      <c r="B90" t="s">
        <v>389</v>
      </c>
      <c r="C90" t="s">
        <v>604</v>
      </c>
    </row>
    <row r="91" spans="2:3" x14ac:dyDescent="0.2">
      <c r="B91" t="s">
        <v>390</v>
      </c>
      <c r="C91" t="s">
        <v>604</v>
      </c>
    </row>
    <row r="92" spans="2:3" x14ac:dyDescent="0.2">
      <c r="B92" t="s">
        <v>391</v>
      </c>
      <c r="C92" t="s">
        <v>150</v>
      </c>
    </row>
    <row r="93" spans="2:3" x14ac:dyDescent="0.2">
      <c r="B93" t="s">
        <v>392</v>
      </c>
      <c r="C93" t="s">
        <v>188</v>
      </c>
    </row>
    <row r="94" spans="2:3" x14ac:dyDescent="0.2">
      <c r="B94" t="s">
        <v>393</v>
      </c>
      <c r="C94" t="s">
        <v>188</v>
      </c>
    </row>
    <row r="95" spans="2:3" x14ac:dyDescent="0.2">
      <c r="B95" t="s">
        <v>394</v>
      </c>
      <c r="C95" t="s">
        <v>371</v>
      </c>
    </row>
    <row r="96" spans="2:3" x14ac:dyDescent="0.2">
      <c r="B96" t="s">
        <v>395</v>
      </c>
      <c r="C96" t="s">
        <v>371</v>
      </c>
    </row>
    <row r="97" spans="2:3" x14ac:dyDescent="0.2">
      <c r="B97" t="s">
        <v>396</v>
      </c>
      <c r="C97" t="s">
        <v>396</v>
      </c>
    </row>
    <row r="98" spans="2:3" x14ac:dyDescent="0.2">
      <c r="B98" t="s">
        <v>397</v>
      </c>
      <c r="C98" t="s">
        <v>396</v>
      </c>
    </row>
    <row r="99" spans="2:3" x14ac:dyDescent="0.2">
      <c r="B99" t="s">
        <v>398</v>
      </c>
      <c r="C99" t="s">
        <v>396</v>
      </c>
    </row>
    <row r="100" spans="2:3" x14ac:dyDescent="0.2">
      <c r="B100" t="s">
        <v>399</v>
      </c>
      <c r="C100" t="s">
        <v>396</v>
      </c>
    </row>
    <row r="101" spans="2:3" x14ac:dyDescent="0.2">
      <c r="B101" t="s">
        <v>400</v>
      </c>
      <c r="C101" t="s">
        <v>396</v>
      </c>
    </row>
    <row r="102" spans="2:3" x14ac:dyDescent="0.2">
      <c r="B102" t="s">
        <v>401</v>
      </c>
      <c r="C102" t="s">
        <v>396</v>
      </c>
    </row>
    <row r="103" spans="2:3" x14ac:dyDescent="0.2">
      <c r="B103" t="s">
        <v>304</v>
      </c>
      <c r="C103" t="s">
        <v>150</v>
      </c>
    </row>
    <row r="104" spans="2:3" x14ac:dyDescent="0.2">
      <c r="B104" t="s">
        <v>402</v>
      </c>
      <c r="C104" t="s">
        <v>612</v>
      </c>
    </row>
    <row r="105" spans="2:3" x14ac:dyDescent="0.2">
      <c r="B105" t="s">
        <v>403</v>
      </c>
      <c r="C105" t="s">
        <v>613</v>
      </c>
    </row>
    <row r="106" spans="2:3" x14ac:dyDescent="0.2">
      <c r="B106" t="s">
        <v>404</v>
      </c>
      <c r="C106" t="s">
        <v>188</v>
      </c>
    </row>
    <row r="107" spans="2:3" x14ac:dyDescent="0.2">
      <c r="B107" t="s">
        <v>405</v>
      </c>
      <c r="C107" t="s">
        <v>604</v>
      </c>
    </row>
    <row r="108" spans="2:3" x14ac:dyDescent="0.2">
      <c r="B108" t="s">
        <v>406</v>
      </c>
      <c r="C108" t="s">
        <v>188</v>
      </c>
    </row>
    <row r="109" spans="2:3" x14ac:dyDescent="0.2">
      <c r="B109" t="s">
        <v>407</v>
      </c>
      <c r="C109" t="s">
        <v>611</v>
      </c>
    </row>
    <row r="110" spans="2:3" x14ac:dyDescent="0.2">
      <c r="B110" t="s">
        <v>408</v>
      </c>
      <c r="C110" t="s">
        <v>408</v>
      </c>
    </row>
    <row r="111" spans="2:3" x14ac:dyDescent="0.2">
      <c r="B111" t="s">
        <v>409</v>
      </c>
      <c r="C111" t="s">
        <v>408</v>
      </c>
    </row>
    <row r="112" spans="2:3" x14ac:dyDescent="0.2">
      <c r="B112" t="s">
        <v>410</v>
      </c>
      <c r="C112" t="s">
        <v>408</v>
      </c>
    </row>
    <row r="113" spans="2:3" x14ac:dyDescent="0.2">
      <c r="B113" t="s">
        <v>411</v>
      </c>
      <c r="C113" t="s">
        <v>408</v>
      </c>
    </row>
    <row r="114" spans="2:3" x14ac:dyDescent="0.2">
      <c r="B114" t="s">
        <v>412</v>
      </c>
      <c r="C114" t="s">
        <v>408</v>
      </c>
    </row>
    <row r="115" spans="2:3" x14ac:dyDescent="0.2">
      <c r="B115" t="s">
        <v>413</v>
      </c>
      <c r="C115" t="s">
        <v>408</v>
      </c>
    </row>
    <row r="116" spans="2:3" x14ac:dyDescent="0.2">
      <c r="B116" t="s">
        <v>414</v>
      </c>
      <c r="C116" t="s">
        <v>408</v>
      </c>
    </row>
    <row r="117" spans="2:3" x14ac:dyDescent="0.2">
      <c r="B117" t="s">
        <v>415</v>
      </c>
      <c r="C117" t="s">
        <v>408</v>
      </c>
    </row>
    <row r="118" spans="2:3" x14ac:dyDescent="0.2">
      <c r="B118" t="s">
        <v>416</v>
      </c>
      <c r="C118" t="s">
        <v>604</v>
      </c>
    </row>
    <row r="119" spans="2:3" x14ac:dyDescent="0.2">
      <c r="B119" t="s">
        <v>417</v>
      </c>
      <c r="C119" t="s">
        <v>604</v>
      </c>
    </row>
    <row r="120" spans="2:3" x14ac:dyDescent="0.2">
      <c r="B120" t="s">
        <v>418</v>
      </c>
      <c r="C120" t="s">
        <v>610</v>
      </c>
    </row>
    <row r="121" spans="2:3" x14ac:dyDescent="0.2">
      <c r="B121" t="s">
        <v>419</v>
      </c>
      <c r="C121" t="s">
        <v>607</v>
      </c>
    </row>
    <row r="122" spans="2:3" x14ac:dyDescent="0.2">
      <c r="B122" t="s">
        <v>420</v>
      </c>
      <c r="C122" t="s">
        <v>607</v>
      </c>
    </row>
    <row r="123" spans="2:3" x14ac:dyDescent="0.2">
      <c r="B123" t="s">
        <v>421</v>
      </c>
      <c r="C123" t="s">
        <v>608</v>
      </c>
    </row>
    <row r="124" spans="2:3" x14ac:dyDescent="0.2">
      <c r="B124" t="s">
        <v>422</v>
      </c>
      <c r="C124" t="s">
        <v>608</v>
      </c>
    </row>
    <row r="125" spans="2:3" x14ac:dyDescent="0.2">
      <c r="B125" t="s">
        <v>423</v>
      </c>
      <c r="C125" t="s">
        <v>188</v>
      </c>
    </row>
    <row r="126" spans="2:3" x14ac:dyDescent="0.2">
      <c r="B126" t="s">
        <v>424</v>
      </c>
      <c r="C126" t="s">
        <v>606</v>
      </c>
    </row>
    <row r="127" spans="2:3" x14ac:dyDescent="0.2">
      <c r="B127" t="s">
        <v>425</v>
      </c>
      <c r="C127" t="s">
        <v>606</v>
      </c>
    </row>
    <row r="128" spans="2:3" x14ac:dyDescent="0.2">
      <c r="B128" t="s">
        <v>426</v>
      </c>
      <c r="C128" t="s">
        <v>606</v>
      </c>
    </row>
    <row r="129" spans="2:3" x14ac:dyDescent="0.2">
      <c r="B129" t="s">
        <v>427</v>
      </c>
      <c r="C129" t="s">
        <v>604</v>
      </c>
    </row>
    <row r="130" spans="2:3" x14ac:dyDescent="0.2">
      <c r="B130" t="s">
        <v>428</v>
      </c>
      <c r="C130" t="s">
        <v>150</v>
      </c>
    </row>
    <row r="131" spans="2:3" x14ac:dyDescent="0.2">
      <c r="B131" t="s">
        <v>429</v>
      </c>
      <c r="C131" t="s">
        <v>604</v>
      </c>
    </row>
    <row r="132" spans="2:3" x14ac:dyDescent="0.2">
      <c r="B132" t="s">
        <v>430</v>
      </c>
      <c r="C132" t="s">
        <v>604</v>
      </c>
    </row>
    <row r="133" spans="2:3" x14ac:dyDescent="0.2">
      <c r="B133" t="s">
        <v>431</v>
      </c>
      <c r="C133" t="s">
        <v>613</v>
      </c>
    </row>
    <row r="134" spans="2:3" x14ac:dyDescent="0.2">
      <c r="B134" t="s">
        <v>213</v>
      </c>
      <c r="C134" t="s">
        <v>612</v>
      </c>
    </row>
    <row r="135" spans="2:3" x14ac:dyDescent="0.2">
      <c r="B135" t="s">
        <v>432</v>
      </c>
      <c r="C135" t="s">
        <v>150</v>
      </c>
    </row>
    <row r="136" spans="2:3" x14ac:dyDescent="0.2">
      <c r="B136" t="s">
        <v>433</v>
      </c>
      <c r="C136" t="s">
        <v>612</v>
      </c>
    </row>
    <row r="137" spans="2:3" x14ac:dyDescent="0.2">
      <c r="B137" t="s">
        <v>434</v>
      </c>
      <c r="C137" t="s">
        <v>606</v>
      </c>
    </row>
    <row r="138" spans="2:3" x14ac:dyDescent="0.2">
      <c r="B138" t="s">
        <v>435</v>
      </c>
      <c r="C138" t="s">
        <v>606</v>
      </c>
    </row>
    <row r="139" spans="2:3" x14ac:dyDescent="0.2">
      <c r="B139" t="s">
        <v>436</v>
      </c>
      <c r="C139" t="s">
        <v>371</v>
      </c>
    </row>
    <row r="140" spans="2:3" x14ac:dyDescent="0.2">
      <c r="B140" t="s">
        <v>437</v>
      </c>
      <c r="C140" t="s">
        <v>371</v>
      </c>
    </row>
    <row r="141" spans="2:3" x14ac:dyDescent="0.2">
      <c r="B141" t="s">
        <v>438</v>
      </c>
      <c r="C141" t="s">
        <v>371</v>
      </c>
    </row>
    <row r="142" spans="2:3" x14ac:dyDescent="0.2">
      <c r="B142" t="s">
        <v>439</v>
      </c>
      <c r="C142" t="s">
        <v>371</v>
      </c>
    </row>
    <row r="143" spans="2:3" x14ac:dyDescent="0.2">
      <c r="B143" t="s">
        <v>440</v>
      </c>
      <c r="C143" t="s">
        <v>371</v>
      </c>
    </row>
    <row r="144" spans="2:3" x14ac:dyDescent="0.2">
      <c r="B144" t="s">
        <v>441</v>
      </c>
      <c r="C144" t="s">
        <v>371</v>
      </c>
    </row>
    <row r="145" spans="2:3" x14ac:dyDescent="0.2">
      <c r="B145" t="s">
        <v>442</v>
      </c>
      <c r="C145" t="s">
        <v>371</v>
      </c>
    </row>
    <row r="146" spans="2:3" x14ac:dyDescent="0.2">
      <c r="B146" t="s">
        <v>443</v>
      </c>
      <c r="C146" t="s">
        <v>371</v>
      </c>
    </row>
    <row r="147" spans="2:3" x14ac:dyDescent="0.2">
      <c r="B147" t="s">
        <v>444</v>
      </c>
      <c r="C147" t="s">
        <v>606</v>
      </c>
    </row>
    <row r="148" spans="2:3" x14ac:dyDescent="0.2">
      <c r="B148" t="s">
        <v>445</v>
      </c>
      <c r="C148" t="s">
        <v>611</v>
      </c>
    </row>
    <row r="149" spans="2:3" x14ac:dyDescent="0.2">
      <c r="B149" t="s">
        <v>446</v>
      </c>
      <c r="C149" t="s">
        <v>604</v>
      </c>
    </row>
    <row r="150" spans="2:3" x14ac:dyDescent="0.2">
      <c r="B150" t="s">
        <v>447</v>
      </c>
      <c r="C150" t="s">
        <v>604</v>
      </c>
    </row>
    <row r="151" spans="2:3" x14ac:dyDescent="0.2">
      <c r="B151" t="s">
        <v>448</v>
      </c>
      <c r="C151" t="s">
        <v>610</v>
      </c>
    </row>
    <row r="152" spans="2:3" x14ac:dyDescent="0.2">
      <c r="B152" t="s">
        <v>449</v>
      </c>
      <c r="C152" t="s">
        <v>611</v>
      </c>
    </row>
    <row r="153" spans="2:3" x14ac:dyDescent="0.2">
      <c r="B153" t="s">
        <v>450</v>
      </c>
      <c r="C153" t="s">
        <v>188</v>
      </c>
    </row>
    <row r="154" spans="2:3" x14ac:dyDescent="0.2">
      <c r="B154" t="s">
        <v>451</v>
      </c>
      <c r="C154" t="s">
        <v>611</v>
      </c>
    </row>
    <row r="155" spans="2:3" x14ac:dyDescent="0.2">
      <c r="B155" t="s">
        <v>452</v>
      </c>
      <c r="C155" t="s">
        <v>611</v>
      </c>
    </row>
    <row r="156" spans="2:3" x14ac:dyDescent="0.2">
      <c r="B156" t="s">
        <v>453</v>
      </c>
      <c r="C156" t="s">
        <v>188</v>
      </c>
    </row>
    <row r="157" spans="2:3" x14ac:dyDescent="0.2">
      <c r="B157" t="s">
        <v>454</v>
      </c>
      <c r="C157" t="s">
        <v>613</v>
      </c>
    </row>
    <row r="158" spans="2:3" x14ac:dyDescent="0.2">
      <c r="B158" t="s">
        <v>455</v>
      </c>
      <c r="C158" t="s">
        <v>371</v>
      </c>
    </row>
    <row r="159" spans="2:3" x14ac:dyDescent="0.2">
      <c r="B159" t="s">
        <v>456</v>
      </c>
      <c r="C159" t="s">
        <v>610</v>
      </c>
    </row>
    <row r="160" spans="2:3" x14ac:dyDescent="0.2">
      <c r="B160" t="s">
        <v>457</v>
      </c>
      <c r="C160" t="s">
        <v>150</v>
      </c>
    </row>
    <row r="161" spans="2:3" x14ac:dyDescent="0.2">
      <c r="B161" t="s">
        <v>458</v>
      </c>
      <c r="C161" t="s">
        <v>150</v>
      </c>
    </row>
    <row r="162" spans="2:3" x14ac:dyDescent="0.2">
      <c r="B162" t="s">
        <v>459</v>
      </c>
      <c r="C162" t="s">
        <v>606</v>
      </c>
    </row>
    <row r="163" spans="2:3" x14ac:dyDescent="0.2">
      <c r="B163" t="s">
        <v>460</v>
      </c>
      <c r="C163" t="s">
        <v>613</v>
      </c>
    </row>
    <row r="164" spans="2:3" x14ac:dyDescent="0.2">
      <c r="B164" t="s">
        <v>461</v>
      </c>
      <c r="C164" t="s">
        <v>606</v>
      </c>
    </row>
    <row r="165" spans="2:3" x14ac:dyDescent="0.2">
      <c r="B165" t="s">
        <v>462</v>
      </c>
      <c r="C165" t="s">
        <v>606</v>
      </c>
    </row>
    <row r="166" spans="2:3" x14ac:dyDescent="0.2">
      <c r="B166" t="s">
        <v>463</v>
      </c>
      <c r="C166" t="s">
        <v>150</v>
      </c>
    </row>
    <row r="167" spans="2:3" x14ac:dyDescent="0.2">
      <c r="B167" t="s">
        <v>464</v>
      </c>
      <c r="C167" t="s">
        <v>150</v>
      </c>
    </row>
    <row r="168" spans="2:3" x14ac:dyDescent="0.2">
      <c r="B168" t="s">
        <v>465</v>
      </c>
      <c r="C168" t="s">
        <v>150</v>
      </c>
    </row>
    <row r="169" spans="2:3" x14ac:dyDescent="0.2">
      <c r="B169" t="s">
        <v>466</v>
      </c>
      <c r="C169" t="s">
        <v>150</v>
      </c>
    </row>
    <row r="170" spans="2:3" x14ac:dyDescent="0.2">
      <c r="B170" t="s">
        <v>467</v>
      </c>
      <c r="C170" t="s">
        <v>371</v>
      </c>
    </row>
    <row r="171" spans="2:3" x14ac:dyDescent="0.2">
      <c r="B171" t="s">
        <v>468</v>
      </c>
      <c r="C171" t="s">
        <v>371</v>
      </c>
    </row>
    <row r="172" spans="2:3" x14ac:dyDescent="0.2">
      <c r="B172" t="s">
        <v>469</v>
      </c>
      <c r="C172" t="s">
        <v>371</v>
      </c>
    </row>
    <row r="173" spans="2:3" x14ac:dyDescent="0.2">
      <c r="B173" t="s">
        <v>470</v>
      </c>
      <c r="C173" t="s">
        <v>371</v>
      </c>
    </row>
    <row r="174" spans="2:3" x14ac:dyDescent="0.2">
      <c r="B174" t="s">
        <v>471</v>
      </c>
      <c r="C174" t="s">
        <v>371</v>
      </c>
    </row>
    <row r="175" spans="2:3" x14ac:dyDescent="0.2">
      <c r="B175" t="s">
        <v>472</v>
      </c>
      <c r="C175" t="s">
        <v>188</v>
      </c>
    </row>
    <row r="176" spans="2:3" x14ac:dyDescent="0.2">
      <c r="B176" t="s">
        <v>473</v>
      </c>
      <c r="C176" t="s">
        <v>613</v>
      </c>
    </row>
    <row r="177" spans="2:3" x14ac:dyDescent="0.2">
      <c r="B177" t="s">
        <v>474</v>
      </c>
      <c r="C177" t="s">
        <v>150</v>
      </c>
    </row>
    <row r="178" spans="2:3" x14ac:dyDescent="0.2">
      <c r="B178" t="s">
        <v>475</v>
      </c>
      <c r="C178" t="s">
        <v>150</v>
      </c>
    </row>
    <row r="179" spans="2:3" x14ac:dyDescent="0.2">
      <c r="B179" t="s">
        <v>476</v>
      </c>
      <c r="C179" t="s">
        <v>606</v>
      </c>
    </row>
    <row r="180" spans="2:3" x14ac:dyDescent="0.2">
      <c r="B180" t="s">
        <v>477</v>
      </c>
      <c r="C180" t="s">
        <v>396</v>
      </c>
    </row>
    <row r="181" spans="2:3" x14ac:dyDescent="0.2">
      <c r="B181" t="s">
        <v>478</v>
      </c>
      <c r="C181" t="s">
        <v>492</v>
      </c>
    </row>
    <row r="182" spans="2:3" x14ac:dyDescent="0.2">
      <c r="B182" t="s">
        <v>479</v>
      </c>
      <c r="C182" t="s">
        <v>606</v>
      </c>
    </row>
    <row r="183" spans="2:3" x14ac:dyDescent="0.2">
      <c r="B183" t="s">
        <v>480</v>
      </c>
      <c r="C183" t="s">
        <v>492</v>
      </c>
    </row>
    <row r="184" spans="2:3" x14ac:dyDescent="0.2">
      <c r="B184" t="s">
        <v>481</v>
      </c>
      <c r="C184" t="s">
        <v>492</v>
      </c>
    </row>
    <row r="185" spans="2:3" x14ac:dyDescent="0.2">
      <c r="B185" t="s">
        <v>482</v>
      </c>
      <c r="C185" t="s">
        <v>606</v>
      </c>
    </row>
    <row r="186" spans="2:3" x14ac:dyDescent="0.2">
      <c r="B186" t="s">
        <v>483</v>
      </c>
      <c r="C186" t="s">
        <v>610</v>
      </c>
    </row>
    <row r="187" spans="2:3" x14ac:dyDescent="0.2">
      <c r="B187" t="s">
        <v>484</v>
      </c>
      <c r="C187" t="s">
        <v>610</v>
      </c>
    </row>
    <row r="188" spans="2:3" x14ac:dyDescent="0.2">
      <c r="B188" t="s">
        <v>485</v>
      </c>
      <c r="C188" t="s">
        <v>610</v>
      </c>
    </row>
    <row r="189" spans="2:3" x14ac:dyDescent="0.2">
      <c r="B189" t="s">
        <v>486</v>
      </c>
      <c r="C189" t="s">
        <v>611</v>
      </c>
    </row>
    <row r="190" spans="2:3" x14ac:dyDescent="0.2">
      <c r="B190" t="s">
        <v>487</v>
      </c>
      <c r="C190" t="s">
        <v>150</v>
      </c>
    </row>
    <row r="191" spans="2:3" x14ac:dyDescent="0.2">
      <c r="B191" t="s">
        <v>488</v>
      </c>
      <c r="C191" t="s">
        <v>610</v>
      </c>
    </row>
    <row r="192" spans="2:3" x14ac:dyDescent="0.2">
      <c r="B192" t="s">
        <v>489</v>
      </c>
      <c r="C192" t="s">
        <v>188</v>
      </c>
    </row>
    <row r="193" spans="2:3" x14ac:dyDescent="0.2">
      <c r="B193" t="s">
        <v>490</v>
      </c>
      <c r="C193" t="s">
        <v>492</v>
      </c>
    </row>
    <row r="194" spans="2:3" x14ac:dyDescent="0.2">
      <c r="B194" t="s">
        <v>227</v>
      </c>
      <c r="C194" t="s">
        <v>605</v>
      </c>
    </row>
    <row r="195" spans="2:3" x14ac:dyDescent="0.2">
      <c r="B195" t="s">
        <v>232</v>
      </c>
      <c r="C195" t="s">
        <v>605</v>
      </c>
    </row>
    <row r="196" spans="2:3" x14ac:dyDescent="0.2">
      <c r="B196" t="s">
        <v>491</v>
      </c>
      <c r="C196" t="s">
        <v>605</v>
      </c>
    </row>
    <row r="197" spans="2:3" x14ac:dyDescent="0.2">
      <c r="B197" t="s">
        <v>492</v>
      </c>
      <c r="C197" t="s">
        <v>492</v>
      </c>
    </row>
    <row r="198" spans="2:3" x14ac:dyDescent="0.2">
      <c r="B198" t="s">
        <v>493</v>
      </c>
      <c r="C198" t="s">
        <v>492</v>
      </c>
    </row>
    <row r="199" spans="2:3" x14ac:dyDescent="0.2">
      <c r="B199" t="s">
        <v>494</v>
      </c>
      <c r="C199" t="s">
        <v>492</v>
      </c>
    </row>
    <row r="200" spans="2:3" x14ac:dyDescent="0.2">
      <c r="B200" t="s">
        <v>495</v>
      </c>
      <c r="C200" t="s">
        <v>492</v>
      </c>
    </row>
    <row r="201" spans="2:3" x14ac:dyDescent="0.2">
      <c r="B201" t="s">
        <v>496</v>
      </c>
      <c r="C201" t="s">
        <v>492</v>
      </c>
    </row>
    <row r="202" spans="2:3" x14ac:dyDescent="0.2">
      <c r="B202" t="s">
        <v>497</v>
      </c>
      <c r="C202" t="s">
        <v>492</v>
      </c>
    </row>
    <row r="203" spans="2:3" x14ac:dyDescent="0.2">
      <c r="B203" t="s">
        <v>498</v>
      </c>
      <c r="C203" t="s">
        <v>492</v>
      </c>
    </row>
    <row r="204" spans="2:3" x14ac:dyDescent="0.2">
      <c r="B204" t="s">
        <v>499</v>
      </c>
      <c r="C204" t="s">
        <v>492</v>
      </c>
    </row>
    <row r="205" spans="2:3" x14ac:dyDescent="0.2">
      <c r="B205" t="s">
        <v>500</v>
      </c>
      <c r="C205" t="s">
        <v>492</v>
      </c>
    </row>
    <row r="206" spans="2:3" x14ac:dyDescent="0.2">
      <c r="B206" t="s">
        <v>501</v>
      </c>
      <c r="C206" t="s">
        <v>492</v>
      </c>
    </row>
    <row r="207" spans="2:3" x14ac:dyDescent="0.2">
      <c r="B207" t="s">
        <v>502</v>
      </c>
      <c r="C207" t="s">
        <v>605</v>
      </c>
    </row>
    <row r="208" spans="2:3" x14ac:dyDescent="0.2">
      <c r="B208" t="s">
        <v>503</v>
      </c>
      <c r="C208" t="s">
        <v>150</v>
      </c>
    </row>
    <row r="209" spans="2:3" x14ac:dyDescent="0.2">
      <c r="B209" t="s">
        <v>504</v>
      </c>
      <c r="C209" t="s">
        <v>150</v>
      </c>
    </row>
    <row r="210" spans="2:3" x14ac:dyDescent="0.2">
      <c r="B210" t="s">
        <v>505</v>
      </c>
      <c r="C210" t="s">
        <v>610</v>
      </c>
    </row>
    <row r="211" spans="2:3" x14ac:dyDescent="0.2">
      <c r="B211" t="s">
        <v>506</v>
      </c>
      <c r="C211" t="s">
        <v>610</v>
      </c>
    </row>
    <row r="212" spans="2:3" x14ac:dyDescent="0.2">
      <c r="B212" t="s">
        <v>507</v>
      </c>
      <c r="C212" t="s">
        <v>613</v>
      </c>
    </row>
    <row r="213" spans="2:3" x14ac:dyDescent="0.2">
      <c r="B213" t="s">
        <v>508</v>
      </c>
      <c r="C213" t="s">
        <v>371</v>
      </c>
    </row>
    <row r="214" spans="2:3" x14ac:dyDescent="0.2">
      <c r="B214" t="s">
        <v>509</v>
      </c>
      <c r="C214" t="s">
        <v>371</v>
      </c>
    </row>
    <row r="215" spans="2:3" x14ac:dyDescent="0.2">
      <c r="B215" t="s">
        <v>510</v>
      </c>
      <c r="C215" t="s">
        <v>371</v>
      </c>
    </row>
    <row r="216" spans="2:3" x14ac:dyDescent="0.2">
      <c r="B216" t="s">
        <v>511</v>
      </c>
      <c r="C216" t="s">
        <v>371</v>
      </c>
    </row>
    <row r="217" spans="2:3" x14ac:dyDescent="0.2">
      <c r="B217" t="s">
        <v>512</v>
      </c>
      <c r="C217" t="s">
        <v>371</v>
      </c>
    </row>
    <row r="218" spans="2:3" x14ac:dyDescent="0.2">
      <c r="B218" t="s">
        <v>513</v>
      </c>
      <c r="C218" t="s">
        <v>371</v>
      </c>
    </row>
    <row r="219" spans="2:3" x14ac:dyDescent="0.2">
      <c r="B219" t="s">
        <v>514</v>
      </c>
      <c r="C219" t="s">
        <v>371</v>
      </c>
    </row>
    <row r="220" spans="2:3" x14ac:dyDescent="0.2">
      <c r="B220" t="s">
        <v>515</v>
      </c>
      <c r="C220" t="s">
        <v>612</v>
      </c>
    </row>
    <row r="221" spans="2:3" x14ac:dyDescent="0.2">
      <c r="B221" t="s">
        <v>516</v>
      </c>
      <c r="C221" t="s">
        <v>188</v>
      </c>
    </row>
    <row r="222" spans="2:3" x14ac:dyDescent="0.2">
      <c r="B222" t="s">
        <v>242</v>
      </c>
      <c r="C222" t="s">
        <v>150</v>
      </c>
    </row>
    <row r="223" spans="2:3" x14ac:dyDescent="0.2">
      <c r="B223" t="s">
        <v>517</v>
      </c>
      <c r="C223" t="s">
        <v>150</v>
      </c>
    </row>
    <row r="224" spans="2:3" x14ac:dyDescent="0.2">
      <c r="B224" t="s">
        <v>518</v>
      </c>
      <c r="C224" t="s">
        <v>610</v>
      </c>
    </row>
    <row r="225" spans="2:3" x14ac:dyDescent="0.2">
      <c r="B225" t="s">
        <v>519</v>
      </c>
      <c r="C225" t="s">
        <v>610</v>
      </c>
    </row>
    <row r="226" spans="2:3" x14ac:dyDescent="0.2">
      <c r="B226" t="s">
        <v>379</v>
      </c>
      <c r="C226" t="s">
        <v>188</v>
      </c>
    </row>
    <row r="227" spans="2:3" x14ac:dyDescent="0.2">
      <c r="B227" t="s">
        <v>520</v>
      </c>
      <c r="C227" t="s">
        <v>611</v>
      </c>
    </row>
    <row r="228" spans="2:3" x14ac:dyDescent="0.2">
      <c r="B228" t="s">
        <v>521</v>
      </c>
      <c r="C228" t="s">
        <v>150</v>
      </c>
    </row>
    <row r="229" spans="2:3" x14ac:dyDescent="0.2">
      <c r="B229" t="s">
        <v>522</v>
      </c>
      <c r="C229" t="s">
        <v>150</v>
      </c>
    </row>
    <row r="230" spans="2:3" x14ac:dyDescent="0.2">
      <c r="B230" t="s">
        <v>523</v>
      </c>
      <c r="C230" t="s">
        <v>150</v>
      </c>
    </row>
    <row r="231" spans="2:3" x14ac:dyDescent="0.2">
      <c r="B231" t="s">
        <v>524</v>
      </c>
      <c r="C231" t="s">
        <v>150</v>
      </c>
    </row>
    <row r="232" spans="2:3" x14ac:dyDescent="0.2">
      <c r="B232" t="s">
        <v>525</v>
      </c>
      <c r="C232" t="s">
        <v>150</v>
      </c>
    </row>
    <row r="233" spans="2:3" x14ac:dyDescent="0.2">
      <c r="B233" t="s">
        <v>526</v>
      </c>
      <c r="C233" t="s">
        <v>150</v>
      </c>
    </row>
    <row r="234" spans="2:3" x14ac:dyDescent="0.2">
      <c r="B234" t="s">
        <v>527</v>
      </c>
      <c r="C234" t="s">
        <v>150</v>
      </c>
    </row>
    <row r="235" spans="2:3" x14ac:dyDescent="0.2">
      <c r="B235" t="s">
        <v>528</v>
      </c>
      <c r="C235" t="s">
        <v>610</v>
      </c>
    </row>
    <row r="236" spans="2:3" x14ac:dyDescent="0.2">
      <c r="B236" t="s">
        <v>188</v>
      </c>
      <c r="C236" t="s">
        <v>188</v>
      </c>
    </row>
  </sheetData>
  <autoFilter ref="B1:C237" xr:uid="{1787A926-93F1-A242-8103-28D7937D606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0E18E-B464-CE4E-8A14-EA50B30F7B47}">
  <sheetPr codeName="Sheet9"/>
  <dimension ref="A3:A256"/>
  <sheetViews>
    <sheetView topLeftCell="A234" workbookViewId="0">
      <selection activeCell="F253" sqref="F253"/>
    </sheetView>
  </sheetViews>
  <sheetFormatPr baseColWidth="10" defaultRowHeight="15" x14ac:dyDescent="0.2"/>
  <cols>
    <col min="1" max="1" width="28.83203125" bestFit="1" customWidth="1"/>
    <col min="2" max="2" width="21.83203125" bestFit="1" customWidth="1"/>
    <col min="3" max="3" width="12.83203125" bestFit="1" customWidth="1"/>
    <col min="4" max="4" width="6" bestFit="1" customWidth="1"/>
    <col min="5" max="5" width="10.1640625" bestFit="1" customWidth="1"/>
    <col min="6" max="6" width="7.33203125" bestFit="1" customWidth="1"/>
    <col min="7" max="7" width="12.83203125" bestFit="1" customWidth="1"/>
    <col min="8" max="8" width="12" bestFit="1" customWidth="1"/>
    <col min="9" max="9" width="13.83203125" bestFit="1" customWidth="1"/>
    <col min="10" max="10" width="11.1640625" bestFit="1" customWidth="1"/>
    <col min="11" max="11" width="13" bestFit="1" customWidth="1"/>
    <col min="12" max="12" width="18" bestFit="1" customWidth="1"/>
    <col min="13" max="13" width="26" bestFit="1" customWidth="1"/>
    <col min="14" max="14" width="7" bestFit="1" customWidth="1"/>
    <col min="15" max="15" width="6" bestFit="1" customWidth="1"/>
    <col min="16" max="16" width="9.6640625" bestFit="1" customWidth="1"/>
    <col min="17" max="17" width="7.1640625" bestFit="1" customWidth="1"/>
    <col min="18" max="18" width="14" bestFit="1" customWidth="1"/>
    <col min="19" max="19" width="14.1640625" bestFit="1" customWidth="1"/>
    <col min="20" max="20" width="11.5" bestFit="1" customWidth="1"/>
    <col min="21" max="21" width="14" bestFit="1" customWidth="1"/>
    <col min="22" max="22" width="7.1640625" bestFit="1" customWidth="1"/>
    <col min="23" max="23" width="13" bestFit="1" customWidth="1"/>
    <col min="24" max="24" width="10.6640625" bestFit="1" customWidth="1"/>
    <col min="25" max="25" width="3.5" bestFit="1" customWidth="1"/>
    <col min="26" max="26" width="13" bestFit="1" customWidth="1"/>
    <col min="27" max="27" width="12.5" bestFit="1" customWidth="1"/>
    <col min="28" max="28" width="4" bestFit="1" customWidth="1"/>
    <col min="29" max="29" width="6.33203125" bestFit="1" customWidth="1"/>
    <col min="30" max="30" width="14.6640625" bestFit="1" customWidth="1"/>
    <col min="31" max="31" width="9.6640625" bestFit="1" customWidth="1"/>
    <col min="32" max="32" width="10.6640625" bestFit="1" customWidth="1"/>
    <col min="33" max="33" width="17.33203125" bestFit="1" customWidth="1"/>
    <col min="34" max="34" width="9.1640625" bestFit="1" customWidth="1"/>
    <col min="35" max="35" width="6.6640625" bestFit="1" customWidth="1"/>
    <col min="36" max="36" width="7.33203125" bestFit="1" customWidth="1"/>
    <col min="37" max="37" width="5.33203125" bestFit="1" customWidth="1"/>
    <col min="38" max="38" width="5" bestFit="1" customWidth="1"/>
    <col min="39" max="39" width="15.83203125" bestFit="1" customWidth="1"/>
    <col min="40" max="40" width="11.1640625" bestFit="1" customWidth="1"/>
    <col min="41" max="41" width="15.33203125" bestFit="1" customWidth="1"/>
    <col min="42" max="42" width="12.5" bestFit="1" customWidth="1"/>
    <col min="43" max="43" width="22.33203125" bestFit="1" customWidth="1"/>
    <col min="44" max="44" width="7.6640625" bestFit="1" customWidth="1"/>
    <col min="45" max="45" width="13.83203125" bestFit="1" customWidth="1"/>
    <col min="46" max="46" width="4.33203125" bestFit="1" customWidth="1"/>
    <col min="47" max="47" width="5" bestFit="1" customWidth="1"/>
    <col min="48" max="48" width="11.6640625" bestFit="1" customWidth="1"/>
    <col min="49" max="49" width="8.1640625" bestFit="1" customWidth="1"/>
    <col min="50" max="50" width="14.83203125" bestFit="1" customWidth="1"/>
    <col min="51" max="51" width="18" bestFit="1" customWidth="1"/>
    <col min="52" max="52" width="5.83203125" bestFit="1" customWidth="1"/>
    <col min="53" max="53" width="8.1640625" bestFit="1" customWidth="1"/>
    <col min="54" max="54" width="4.83203125" bestFit="1" customWidth="1"/>
    <col min="55" max="55" width="15.6640625" bestFit="1" customWidth="1"/>
    <col min="56" max="56" width="7.33203125" bestFit="1" customWidth="1"/>
    <col min="57" max="57" width="7.5" bestFit="1" customWidth="1"/>
    <col min="58" max="58" width="13.6640625" bestFit="1" customWidth="1"/>
    <col min="59" max="59" width="7" bestFit="1" customWidth="1"/>
    <col min="60" max="60" width="12.1640625" bestFit="1" customWidth="1"/>
    <col min="61" max="61" width="18.6640625" bestFit="1" customWidth="1"/>
    <col min="62" max="63" width="10" bestFit="1" customWidth="1"/>
    <col min="64" max="64" width="10.33203125" bestFit="1" customWidth="1"/>
    <col min="65" max="65" width="7.83203125" bestFit="1" customWidth="1"/>
    <col min="66" max="66" width="8" bestFit="1" customWidth="1"/>
    <col min="67" max="67" width="13.83203125" bestFit="1" customWidth="1"/>
    <col min="68" max="68" width="7.83203125" bestFit="1" customWidth="1"/>
    <col min="69" max="69" width="11.6640625" bestFit="1" customWidth="1"/>
    <col min="70" max="70" width="10.1640625" bestFit="1" customWidth="1"/>
    <col min="71" max="71" width="7.6640625" bestFit="1" customWidth="1"/>
    <col min="72" max="72" width="9.1640625" bestFit="1" customWidth="1"/>
    <col min="73" max="73" width="8.5" bestFit="1" customWidth="1"/>
    <col min="74" max="74" width="12.83203125" bestFit="1" customWidth="1"/>
    <col min="75" max="75" width="9" bestFit="1" customWidth="1"/>
    <col min="76" max="76" width="9.1640625" bestFit="1" customWidth="1"/>
    <col min="77" max="77" width="5.1640625" bestFit="1" customWidth="1"/>
    <col min="78" max="78" width="11.6640625" bestFit="1" customWidth="1"/>
    <col min="79" max="79" width="8.83203125" bestFit="1" customWidth="1"/>
    <col min="80" max="80" width="11.33203125" bestFit="1" customWidth="1"/>
    <col min="81" max="81" width="12" bestFit="1" customWidth="1"/>
    <col min="82" max="82" width="14" bestFit="1" customWidth="1"/>
    <col min="83" max="83" width="4.1640625" bestFit="1" customWidth="1"/>
    <col min="84" max="84" width="12.33203125" bestFit="1" customWidth="1"/>
    <col min="85" max="85" width="4.83203125" bestFit="1" customWidth="1"/>
    <col min="86" max="86" width="9.33203125" bestFit="1" customWidth="1"/>
    <col min="87" max="87" width="7.33203125" bestFit="1" customWidth="1"/>
    <col min="88" max="88" width="11" bestFit="1" customWidth="1"/>
    <col min="89" max="89" width="4.5" bestFit="1" customWidth="1"/>
    <col min="90" max="90" width="17" bestFit="1" customWidth="1"/>
    <col min="91" max="91" width="5.5" bestFit="1" customWidth="1"/>
    <col min="92" max="92" width="7.6640625" bestFit="1" customWidth="1"/>
    <col min="93" max="93" width="4.1640625" bestFit="1" customWidth="1"/>
    <col min="94" max="94" width="14" bestFit="1" customWidth="1"/>
    <col min="95" max="95" width="17.33203125" bestFit="1" customWidth="1"/>
    <col min="96" max="96" width="14.33203125" bestFit="1" customWidth="1"/>
    <col min="97" max="97" width="7.33203125" bestFit="1" customWidth="1"/>
    <col min="98" max="98" width="14.1640625" bestFit="1" customWidth="1"/>
    <col min="99" max="99" width="21.83203125" bestFit="1" customWidth="1"/>
    <col min="100" max="100" width="17.33203125" bestFit="1" customWidth="1"/>
    <col min="101" max="101" width="13.1640625" bestFit="1" customWidth="1"/>
    <col min="102" max="102" width="17.83203125" bestFit="1" customWidth="1"/>
    <col min="103" max="103" width="12" bestFit="1" customWidth="1"/>
    <col min="104" max="104" width="14.33203125" bestFit="1" customWidth="1"/>
    <col min="105" max="105" width="11.33203125" bestFit="1" customWidth="1"/>
    <col min="106" max="106" width="17.1640625" bestFit="1" customWidth="1"/>
    <col min="107" max="107" width="16.83203125" bestFit="1" customWidth="1"/>
    <col min="108" max="108" width="6.33203125" bestFit="1" customWidth="1"/>
    <col min="109" max="109" width="7" bestFit="1" customWidth="1"/>
    <col min="110" max="110" width="4.83203125" bestFit="1" customWidth="1"/>
    <col min="111" max="111" width="20.1640625" bestFit="1" customWidth="1"/>
    <col min="112" max="112" width="11.5" bestFit="1" customWidth="1"/>
    <col min="113" max="113" width="19.33203125" bestFit="1" customWidth="1"/>
    <col min="114" max="114" width="18.5" bestFit="1" customWidth="1"/>
    <col min="115" max="115" width="9.83203125" bestFit="1" customWidth="1"/>
    <col min="116" max="116" width="14.33203125" bestFit="1" customWidth="1"/>
    <col min="117" max="117" width="13.5" bestFit="1" customWidth="1"/>
    <col min="118" max="118" width="12.5" bestFit="1" customWidth="1"/>
    <col min="119" max="119" width="13" bestFit="1" customWidth="1"/>
    <col min="120" max="120" width="9.83203125" bestFit="1" customWidth="1"/>
    <col min="121" max="121" width="4" bestFit="1" customWidth="1"/>
    <col min="122" max="122" width="12" bestFit="1" customWidth="1"/>
    <col min="123" max="123" width="18.5" bestFit="1" customWidth="1"/>
    <col min="124" max="124" width="16.5" bestFit="1" customWidth="1"/>
    <col min="125" max="125" width="11.33203125" bestFit="1" customWidth="1"/>
    <col min="126" max="126" width="11.1640625" bestFit="1" customWidth="1"/>
    <col min="127" max="127" width="17.1640625" bestFit="1" customWidth="1"/>
    <col min="128" max="128" width="15.6640625" bestFit="1" customWidth="1"/>
    <col min="129" max="129" width="5.5" bestFit="1" customWidth="1"/>
    <col min="130" max="130" width="8.1640625" bestFit="1" customWidth="1"/>
    <col min="131" max="131" width="9.83203125" bestFit="1" customWidth="1"/>
    <col min="132" max="132" width="4.83203125" bestFit="1" customWidth="1"/>
    <col min="133" max="133" width="7.33203125" bestFit="1" customWidth="1"/>
    <col min="134" max="134" width="12.1640625" bestFit="1" customWidth="1"/>
    <col min="135" max="135" width="5.5" bestFit="1" customWidth="1"/>
    <col min="136" max="136" width="5.6640625" bestFit="1" customWidth="1"/>
    <col min="137" max="137" width="6.1640625" bestFit="1" customWidth="1"/>
    <col min="138" max="138" width="6.83203125" bestFit="1" customWidth="1"/>
    <col min="139" max="139" width="8" bestFit="1" customWidth="1"/>
    <col min="140" max="140" width="14.6640625" bestFit="1" customWidth="1"/>
    <col min="141" max="141" width="13.6640625" bestFit="1" customWidth="1"/>
    <col min="142" max="142" width="15" bestFit="1" customWidth="1"/>
    <col min="143" max="143" width="11.33203125" bestFit="1" customWidth="1"/>
    <col min="144" max="144" width="11.6640625" bestFit="1" customWidth="1"/>
    <col min="145" max="145" width="15.6640625" bestFit="1" customWidth="1"/>
    <col min="146" max="146" width="14.33203125" bestFit="1" customWidth="1"/>
    <col min="147" max="147" width="6.5" bestFit="1" customWidth="1"/>
    <col min="148" max="148" width="6.33203125" bestFit="1" customWidth="1"/>
    <col min="149" max="149" width="13.33203125" bestFit="1" customWidth="1"/>
    <col min="150" max="150" width="12.6640625" bestFit="1" customWidth="1"/>
    <col min="151" max="151" width="7.5" bestFit="1" customWidth="1"/>
    <col min="152" max="152" width="6.5" bestFit="1" customWidth="1"/>
    <col min="153" max="153" width="6" bestFit="1" customWidth="1"/>
    <col min="154" max="154" width="5.83203125" bestFit="1" customWidth="1"/>
    <col min="155" max="155" width="11.83203125" bestFit="1" customWidth="1"/>
    <col min="156" max="156" width="8.33203125" bestFit="1" customWidth="1"/>
    <col min="157" max="157" width="5.1640625" bestFit="1" customWidth="1"/>
    <col min="158" max="158" width="13.33203125" bestFit="1" customWidth="1"/>
    <col min="159" max="159" width="6.6640625" bestFit="1" customWidth="1"/>
    <col min="160" max="160" width="11.1640625" bestFit="1" customWidth="1"/>
    <col min="161" max="161" width="9.5" bestFit="1" customWidth="1"/>
    <col min="162" max="162" width="8.1640625" bestFit="1" customWidth="1"/>
    <col min="163" max="163" width="8.83203125" bestFit="1" customWidth="1"/>
    <col min="164" max="164" width="8.5" bestFit="1" customWidth="1"/>
    <col min="165" max="165" width="11.83203125" bestFit="1" customWidth="1"/>
    <col min="166" max="166" width="6.33203125" bestFit="1" customWidth="1"/>
    <col min="167" max="167" width="8.33203125" bestFit="1" customWidth="1"/>
    <col min="168" max="168" width="6.83203125" bestFit="1" customWidth="1"/>
    <col min="169" max="169" width="10" bestFit="1" customWidth="1"/>
    <col min="170" max="170" width="9.6640625" bestFit="1" customWidth="1"/>
    <col min="171" max="171" width="20.1640625" bestFit="1" customWidth="1"/>
    <col min="172" max="172" width="13.6640625" bestFit="1" customWidth="1"/>
    <col min="173" max="173" width="15" bestFit="1" customWidth="1"/>
    <col min="174" max="174" width="14" bestFit="1" customWidth="1"/>
    <col min="175" max="175" width="10" bestFit="1" customWidth="1"/>
    <col min="176" max="176" width="11.33203125" bestFit="1" customWidth="1"/>
    <col min="177" max="177" width="7.83203125" bestFit="1" customWidth="1"/>
    <col min="178" max="178" width="6.1640625" bestFit="1" customWidth="1"/>
    <col min="179" max="179" width="7.6640625" bestFit="1" customWidth="1"/>
    <col min="180" max="180" width="18" bestFit="1" customWidth="1"/>
    <col min="181" max="181" width="15" bestFit="1" customWidth="1"/>
    <col min="182" max="182" width="4.1640625" bestFit="1" customWidth="1"/>
    <col min="183" max="183" width="9.33203125" bestFit="1" customWidth="1"/>
    <col min="184" max="184" width="13.1640625" bestFit="1" customWidth="1"/>
    <col min="185" max="185" width="13.33203125" bestFit="1" customWidth="1"/>
    <col min="186" max="186" width="10.5" bestFit="1" customWidth="1"/>
    <col min="187" max="187" width="7.33203125" bestFit="1" customWidth="1"/>
    <col min="188" max="188" width="19.6640625" bestFit="1" customWidth="1"/>
    <col min="189" max="189" width="6.6640625" bestFit="1" customWidth="1"/>
    <col min="190" max="190" width="9.83203125" bestFit="1" customWidth="1"/>
    <col min="191" max="191" width="8.33203125" bestFit="1" customWidth="1"/>
    <col min="192" max="192" width="11" bestFit="1" customWidth="1"/>
    <col min="193" max="193" width="24" bestFit="1" customWidth="1"/>
    <col min="194" max="194" width="12" bestFit="1" customWidth="1"/>
    <col min="195" max="195" width="10.83203125" bestFit="1" customWidth="1"/>
    <col min="196" max="196" width="11.6640625" bestFit="1" customWidth="1"/>
    <col min="197" max="197" width="9.1640625" bestFit="1" customWidth="1"/>
    <col min="198" max="198" width="20.1640625" bestFit="1" customWidth="1"/>
    <col min="199" max="199" width="23" bestFit="1" customWidth="1"/>
    <col min="200" max="200" width="17.6640625" bestFit="1" customWidth="1"/>
    <col min="201" max="201" width="15.6640625" bestFit="1" customWidth="1"/>
    <col min="202" max="202" width="17.6640625" bestFit="1" customWidth="1"/>
    <col min="203" max="203" width="17.83203125" bestFit="1" customWidth="1"/>
    <col min="204" max="204" width="17.33203125" bestFit="1" customWidth="1"/>
    <col min="205" max="205" width="15.1640625" bestFit="1" customWidth="1"/>
    <col min="206" max="206" width="14.1640625" bestFit="1" customWidth="1"/>
    <col min="207" max="207" width="5.6640625" bestFit="1" customWidth="1"/>
    <col min="208" max="208" width="10.5" bestFit="1" customWidth="1"/>
    <col min="209" max="209" width="11.1640625" bestFit="1" customWidth="1"/>
    <col min="210" max="210" width="9" bestFit="1" customWidth="1"/>
    <col min="211" max="211" width="8.5" bestFit="1" customWidth="1"/>
    <col min="212" max="212" width="3.5" bestFit="1" customWidth="1"/>
    <col min="213" max="213" width="5.33203125" bestFit="1" customWidth="1"/>
    <col min="214" max="214" width="7.6640625" bestFit="1" customWidth="1"/>
    <col min="215" max="215" width="12" bestFit="1" customWidth="1"/>
    <col min="216" max="216" width="10.83203125" bestFit="1" customWidth="1"/>
    <col min="217" max="217" width="11.5" bestFit="1" customWidth="1"/>
    <col min="218" max="218" width="7.1640625" bestFit="1" customWidth="1"/>
    <col min="219" max="219" width="13.5" bestFit="1" customWidth="1"/>
    <col min="220" max="220" width="9.5" bestFit="1" customWidth="1"/>
    <col min="221" max="221" width="4.6640625" bestFit="1" customWidth="1"/>
    <col min="222" max="222" width="9.1640625" bestFit="1" customWidth="1"/>
    <col min="223" max="223" width="6.6640625" bestFit="1" customWidth="1"/>
    <col min="224" max="224" width="10.6640625" bestFit="1" customWidth="1"/>
    <col min="225" max="225" width="16.83203125" bestFit="1" customWidth="1"/>
    <col min="226" max="226" width="14.1640625" bestFit="1" customWidth="1"/>
    <col min="227" max="227" width="7.5" bestFit="1" customWidth="1"/>
    <col min="228" max="228" width="7.33203125" bestFit="1" customWidth="1"/>
    <col min="229" max="229" width="9.83203125" bestFit="1" customWidth="1"/>
    <col min="230" max="230" width="21.83203125" bestFit="1" customWidth="1"/>
    <col min="231" max="231" width="16.6640625" bestFit="1" customWidth="1"/>
    <col min="232" max="232" width="21.6640625" bestFit="1" customWidth="1"/>
    <col min="233" max="233" width="21.1640625" bestFit="1" customWidth="1"/>
    <col min="234" max="234" width="8.1640625" bestFit="1" customWidth="1"/>
    <col min="235" max="235" width="14.83203125" bestFit="1" customWidth="1"/>
    <col min="236" max="236" width="18.6640625" bestFit="1" customWidth="1"/>
    <col min="237" max="237" width="6.33203125" bestFit="1" customWidth="1"/>
    <col min="238" max="238" width="10" bestFit="1" customWidth="1"/>
    <col min="239" max="256" width="18.5" bestFit="1" customWidth="1"/>
    <col min="257" max="257" width="10.5" bestFit="1" customWidth="1"/>
    <col min="258" max="258" width="10" bestFit="1" customWidth="1"/>
  </cols>
  <sheetData>
    <row r="3" spans="1:1" x14ac:dyDescent="0.2">
      <c r="A3" s="11" t="s">
        <v>556</v>
      </c>
    </row>
    <row r="4" spans="1:1" x14ac:dyDescent="0.2">
      <c r="A4" s="12" t="s">
        <v>607</v>
      </c>
    </row>
    <row r="5" spans="1:1" x14ac:dyDescent="0.2">
      <c r="A5" s="13" t="s">
        <v>315</v>
      </c>
    </row>
    <row r="6" spans="1:1" x14ac:dyDescent="0.2">
      <c r="A6" s="13" t="s">
        <v>317</v>
      </c>
    </row>
    <row r="7" spans="1:1" x14ac:dyDescent="0.2">
      <c r="A7" s="13" t="s">
        <v>319</v>
      </c>
    </row>
    <row r="8" spans="1:1" x14ac:dyDescent="0.2">
      <c r="A8" s="13" t="s">
        <v>323</v>
      </c>
    </row>
    <row r="9" spans="1:1" x14ac:dyDescent="0.2">
      <c r="A9" s="13" t="s">
        <v>385</v>
      </c>
    </row>
    <row r="10" spans="1:1" x14ac:dyDescent="0.2">
      <c r="A10" s="13" t="s">
        <v>419</v>
      </c>
    </row>
    <row r="11" spans="1:1" x14ac:dyDescent="0.2">
      <c r="A11" s="13" t="s">
        <v>420</v>
      </c>
    </row>
    <row r="12" spans="1:1" x14ac:dyDescent="0.2">
      <c r="A12" s="12" t="s">
        <v>396</v>
      </c>
    </row>
    <row r="13" spans="1:1" x14ac:dyDescent="0.2">
      <c r="A13" s="13" t="s">
        <v>396</v>
      </c>
    </row>
    <row r="14" spans="1:1" x14ac:dyDescent="0.2">
      <c r="A14" s="13" t="s">
        <v>397</v>
      </c>
    </row>
    <row r="15" spans="1:1" x14ac:dyDescent="0.2">
      <c r="A15" s="13" t="s">
        <v>398</v>
      </c>
    </row>
    <row r="16" spans="1:1" x14ac:dyDescent="0.2">
      <c r="A16" s="13" t="s">
        <v>399</v>
      </c>
    </row>
    <row r="17" spans="1:1" x14ac:dyDescent="0.2">
      <c r="A17" s="13" t="s">
        <v>400</v>
      </c>
    </row>
    <row r="18" spans="1:1" x14ac:dyDescent="0.2">
      <c r="A18" s="13" t="s">
        <v>401</v>
      </c>
    </row>
    <row r="19" spans="1:1" x14ac:dyDescent="0.2">
      <c r="A19" s="13" t="s">
        <v>477</v>
      </c>
    </row>
    <row r="20" spans="1:1" x14ac:dyDescent="0.2">
      <c r="A20" s="12" t="s">
        <v>606</v>
      </c>
    </row>
    <row r="21" spans="1:1" x14ac:dyDescent="0.2">
      <c r="A21" s="13" t="s">
        <v>266</v>
      </c>
    </row>
    <row r="22" spans="1:1" x14ac:dyDescent="0.2">
      <c r="A22" s="13" t="s">
        <v>269</v>
      </c>
    </row>
    <row r="23" spans="1:1" x14ac:dyDescent="0.2">
      <c r="A23" s="13" t="s">
        <v>272</v>
      </c>
    </row>
    <row r="24" spans="1:1" x14ac:dyDescent="0.2">
      <c r="A24" s="13" t="s">
        <v>284</v>
      </c>
    </row>
    <row r="25" spans="1:1" x14ac:dyDescent="0.2">
      <c r="A25" s="13" t="s">
        <v>327</v>
      </c>
    </row>
    <row r="26" spans="1:1" x14ac:dyDescent="0.2">
      <c r="A26" s="13" t="s">
        <v>387</v>
      </c>
    </row>
    <row r="27" spans="1:1" x14ac:dyDescent="0.2">
      <c r="A27" s="13" t="s">
        <v>424</v>
      </c>
    </row>
    <row r="28" spans="1:1" x14ac:dyDescent="0.2">
      <c r="A28" s="13" t="s">
        <v>425</v>
      </c>
    </row>
    <row r="29" spans="1:1" x14ac:dyDescent="0.2">
      <c r="A29" s="13" t="s">
        <v>426</v>
      </c>
    </row>
    <row r="30" spans="1:1" x14ac:dyDescent="0.2">
      <c r="A30" s="13" t="s">
        <v>434</v>
      </c>
    </row>
    <row r="31" spans="1:1" x14ac:dyDescent="0.2">
      <c r="A31" s="13" t="s">
        <v>435</v>
      </c>
    </row>
    <row r="32" spans="1:1" x14ac:dyDescent="0.2">
      <c r="A32" s="13" t="s">
        <v>444</v>
      </c>
    </row>
    <row r="33" spans="1:1" x14ac:dyDescent="0.2">
      <c r="A33" s="13" t="s">
        <v>459</v>
      </c>
    </row>
    <row r="34" spans="1:1" x14ac:dyDescent="0.2">
      <c r="A34" s="13" t="s">
        <v>461</v>
      </c>
    </row>
    <row r="35" spans="1:1" x14ac:dyDescent="0.2">
      <c r="A35" s="13" t="s">
        <v>462</v>
      </c>
    </row>
    <row r="36" spans="1:1" x14ac:dyDescent="0.2">
      <c r="A36" s="13" t="s">
        <v>476</v>
      </c>
    </row>
    <row r="37" spans="1:1" x14ac:dyDescent="0.2">
      <c r="A37" s="13" t="s">
        <v>479</v>
      </c>
    </row>
    <row r="38" spans="1:1" x14ac:dyDescent="0.2">
      <c r="A38" s="13" t="s">
        <v>482</v>
      </c>
    </row>
    <row r="39" spans="1:1" x14ac:dyDescent="0.2">
      <c r="A39" s="12" t="s">
        <v>408</v>
      </c>
    </row>
    <row r="40" spans="1:1" x14ac:dyDescent="0.2">
      <c r="A40" s="13" t="s">
        <v>408</v>
      </c>
    </row>
    <row r="41" spans="1:1" x14ac:dyDescent="0.2">
      <c r="A41" s="13" t="s">
        <v>409</v>
      </c>
    </row>
    <row r="42" spans="1:1" x14ac:dyDescent="0.2">
      <c r="A42" s="13" t="s">
        <v>410</v>
      </c>
    </row>
    <row r="43" spans="1:1" x14ac:dyDescent="0.2">
      <c r="A43" s="13" t="s">
        <v>411</v>
      </c>
    </row>
    <row r="44" spans="1:1" x14ac:dyDescent="0.2">
      <c r="A44" s="13" t="s">
        <v>412</v>
      </c>
    </row>
    <row r="45" spans="1:1" x14ac:dyDescent="0.2">
      <c r="A45" s="13" t="s">
        <v>413</v>
      </c>
    </row>
    <row r="46" spans="1:1" x14ac:dyDescent="0.2">
      <c r="A46" s="13" t="s">
        <v>414</v>
      </c>
    </row>
    <row r="47" spans="1:1" x14ac:dyDescent="0.2">
      <c r="A47" s="13" t="s">
        <v>415</v>
      </c>
    </row>
    <row r="48" spans="1:1" x14ac:dyDescent="0.2">
      <c r="A48" s="12" t="s">
        <v>604</v>
      </c>
    </row>
    <row r="49" spans="1:1" x14ac:dyDescent="0.2">
      <c r="A49" s="13" t="s">
        <v>166</v>
      </c>
    </row>
    <row r="50" spans="1:1" x14ac:dyDescent="0.2">
      <c r="A50" s="13" t="s">
        <v>172</v>
      </c>
    </row>
    <row r="51" spans="1:1" x14ac:dyDescent="0.2">
      <c r="A51" s="13" t="s">
        <v>178</v>
      </c>
    </row>
    <row r="52" spans="1:1" x14ac:dyDescent="0.2">
      <c r="A52" s="13" t="s">
        <v>184</v>
      </c>
    </row>
    <row r="53" spans="1:1" x14ac:dyDescent="0.2">
      <c r="A53" s="13" t="s">
        <v>190</v>
      </c>
    </row>
    <row r="54" spans="1:1" x14ac:dyDescent="0.2">
      <c r="A54" s="13" t="s">
        <v>210</v>
      </c>
    </row>
    <row r="55" spans="1:1" x14ac:dyDescent="0.2">
      <c r="A55" s="13" t="s">
        <v>257</v>
      </c>
    </row>
    <row r="56" spans="1:1" x14ac:dyDescent="0.2">
      <c r="A56" s="13" t="s">
        <v>260</v>
      </c>
    </row>
    <row r="57" spans="1:1" x14ac:dyDescent="0.2">
      <c r="A57" s="13" t="s">
        <v>263</v>
      </c>
    </row>
    <row r="58" spans="1:1" x14ac:dyDescent="0.2">
      <c r="A58" s="13" t="s">
        <v>301</v>
      </c>
    </row>
    <row r="59" spans="1:1" x14ac:dyDescent="0.2">
      <c r="A59" s="13" t="s">
        <v>305</v>
      </c>
    </row>
    <row r="60" spans="1:1" x14ac:dyDescent="0.2">
      <c r="A60" s="13" t="s">
        <v>333</v>
      </c>
    </row>
    <row r="61" spans="1:1" x14ac:dyDescent="0.2">
      <c r="A61" s="13" t="s">
        <v>354</v>
      </c>
    </row>
    <row r="62" spans="1:1" x14ac:dyDescent="0.2">
      <c r="A62" s="13" t="s">
        <v>372</v>
      </c>
    </row>
    <row r="63" spans="1:1" x14ac:dyDescent="0.2">
      <c r="A63" s="13" t="s">
        <v>388</v>
      </c>
    </row>
    <row r="64" spans="1:1" x14ac:dyDescent="0.2">
      <c r="A64" s="13" t="s">
        <v>389</v>
      </c>
    </row>
    <row r="65" spans="1:1" x14ac:dyDescent="0.2">
      <c r="A65" s="13" t="s">
        <v>390</v>
      </c>
    </row>
    <row r="66" spans="1:1" x14ac:dyDescent="0.2">
      <c r="A66" s="13" t="s">
        <v>405</v>
      </c>
    </row>
    <row r="67" spans="1:1" x14ac:dyDescent="0.2">
      <c r="A67" s="13" t="s">
        <v>416</v>
      </c>
    </row>
    <row r="68" spans="1:1" x14ac:dyDescent="0.2">
      <c r="A68" s="13" t="s">
        <v>417</v>
      </c>
    </row>
    <row r="69" spans="1:1" x14ac:dyDescent="0.2">
      <c r="A69" s="13" t="s">
        <v>427</v>
      </c>
    </row>
    <row r="70" spans="1:1" x14ac:dyDescent="0.2">
      <c r="A70" s="13" t="s">
        <v>429</v>
      </c>
    </row>
    <row r="71" spans="1:1" x14ac:dyDescent="0.2">
      <c r="A71" s="13" t="s">
        <v>430</v>
      </c>
    </row>
    <row r="72" spans="1:1" x14ac:dyDescent="0.2">
      <c r="A72" s="13" t="s">
        <v>446</v>
      </c>
    </row>
    <row r="73" spans="1:1" x14ac:dyDescent="0.2">
      <c r="A73" s="13" t="s">
        <v>447</v>
      </c>
    </row>
    <row r="74" spans="1:1" x14ac:dyDescent="0.2">
      <c r="A74" s="12" t="s">
        <v>605</v>
      </c>
    </row>
    <row r="75" spans="1:1" x14ac:dyDescent="0.2">
      <c r="A75" s="13" t="s">
        <v>229</v>
      </c>
    </row>
    <row r="76" spans="1:1" x14ac:dyDescent="0.2">
      <c r="A76" s="13" t="s">
        <v>227</v>
      </c>
    </row>
    <row r="77" spans="1:1" x14ac:dyDescent="0.2">
      <c r="A77" s="13" t="s">
        <v>232</v>
      </c>
    </row>
    <row r="78" spans="1:1" x14ac:dyDescent="0.2">
      <c r="A78" s="13" t="s">
        <v>491</v>
      </c>
    </row>
    <row r="79" spans="1:1" x14ac:dyDescent="0.2">
      <c r="A79" s="13" t="s">
        <v>502</v>
      </c>
    </row>
    <row r="80" spans="1:1" x14ac:dyDescent="0.2">
      <c r="A80" s="12" t="s">
        <v>492</v>
      </c>
    </row>
    <row r="81" spans="1:1" x14ac:dyDescent="0.2">
      <c r="A81" s="13" t="s">
        <v>275</v>
      </c>
    </row>
    <row r="82" spans="1:1" x14ac:dyDescent="0.2">
      <c r="A82" s="13" t="s">
        <v>478</v>
      </c>
    </row>
    <row r="83" spans="1:1" x14ac:dyDescent="0.2">
      <c r="A83" s="13" t="s">
        <v>480</v>
      </c>
    </row>
    <row r="84" spans="1:1" x14ac:dyDescent="0.2">
      <c r="A84" s="13" t="s">
        <v>481</v>
      </c>
    </row>
    <row r="85" spans="1:1" x14ac:dyDescent="0.2">
      <c r="A85" s="13" t="s">
        <v>490</v>
      </c>
    </row>
    <row r="86" spans="1:1" x14ac:dyDescent="0.2">
      <c r="A86" s="13" t="s">
        <v>492</v>
      </c>
    </row>
    <row r="87" spans="1:1" x14ac:dyDescent="0.2">
      <c r="A87" s="13" t="s">
        <v>493</v>
      </c>
    </row>
    <row r="88" spans="1:1" x14ac:dyDescent="0.2">
      <c r="A88" s="13" t="s">
        <v>494</v>
      </c>
    </row>
    <row r="89" spans="1:1" x14ac:dyDescent="0.2">
      <c r="A89" s="13" t="s">
        <v>495</v>
      </c>
    </row>
    <row r="90" spans="1:1" x14ac:dyDescent="0.2">
      <c r="A90" s="13" t="s">
        <v>496</v>
      </c>
    </row>
    <row r="91" spans="1:1" x14ac:dyDescent="0.2">
      <c r="A91" s="13" t="s">
        <v>497</v>
      </c>
    </row>
    <row r="92" spans="1:1" x14ac:dyDescent="0.2">
      <c r="A92" s="13" t="s">
        <v>498</v>
      </c>
    </row>
    <row r="93" spans="1:1" x14ac:dyDescent="0.2">
      <c r="A93" s="13" t="s">
        <v>499</v>
      </c>
    </row>
    <row r="94" spans="1:1" x14ac:dyDescent="0.2">
      <c r="A94" s="13" t="s">
        <v>500</v>
      </c>
    </row>
    <row r="95" spans="1:1" x14ac:dyDescent="0.2">
      <c r="A95" s="13" t="s">
        <v>501</v>
      </c>
    </row>
    <row r="96" spans="1:1" x14ac:dyDescent="0.2">
      <c r="A96" s="12" t="s">
        <v>557</v>
      </c>
    </row>
    <row r="97" spans="1:1" x14ac:dyDescent="0.2">
      <c r="A97" s="13" t="s">
        <v>557</v>
      </c>
    </row>
    <row r="98" spans="1:1" x14ac:dyDescent="0.2">
      <c r="A98" s="12" t="s">
        <v>608</v>
      </c>
    </row>
    <row r="99" spans="1:1" x14ac:dyDescent="0.2">
      <c r="A99" s="13" t="s">
        <v>295</v>
      </c>
    </row>
    <row r="100" spans="1:1" x14ac:dyDescent="0.2">
      <c r="A100" s="13" t="s">
        <v>307</v>
      </c>
    </row>
    <row r="101" spans="1:1" x14ac:dyDescent="0.2">
      <c r="A101" s="13" t="s">
        <v>421</v>
      </c>
    </row>
    <row r="102" spans="1:1" x14ac:dyDescent="0.2">
      <c r="A102" s="13" t="s">
        <v>422</v>
      </c>
    </row>
    <row r="103" spans="1:1" x14ac:dyDescent="0.2">
      <c r="A103" s="12" t="s">
        <v>188</v>
      </c>
    </row>
    <row r="104" spans="1:1" x14ac:dyDescent="0.2">
      <c r="A104" s="13" t="s">
        <v>143</v>
      </c>
    </row>
    <row r="105" spans="1:1" x14ac:dyDescent="0.2">
      <c r="A105" s="13" t="s">
        <v>278</v>
      </c>
    </row>
    <row r="106" spans="1:1" x14ac:dyDescent="0.2">
      <c r="A106" s="13" t="s">
        <v>331</v>
      </c>
    </row>
    <row r="107" spans="1:1" x14ac:dyDescent="0.2">
      <c r="A107" s="13" t="s">
        <v>341</v>
      </c>
    </row>
    <row r="108" spans="1:1" x14ac:dyDescent="0.2">
      <c r="A108" s="13" t="s">
        <v>360</v>
      </c>
    </row>
    <row r="109" spans="1:1" x14ac:dyDescent="0.2">
      <c r="A109" s="13" t="s">
        <v>384</v>
      </c>
    </row>
    <row r="110" spans="1:1" x14ac:dyDescent="0.2">
      <c r="A110" s="13" t="s">
        <v>392</v>
      </c>
    </row>
    <row r="111" spans="1:1" x14ac:dyDescent="0.2">
      <c r="A111" s="13" t="s">
        <v>393</v>
      </c>
    </row>
    <row r="112" spans="1:1" x14ac:dyDescent="0.2">
      <c r="A112" s="13" t="s">
        <v>404</v>
      </c>
    </row>
    <row r="113" spans="1:1" x14ac:dyDescent="0.2">
      <c r="A113" s="13" t="s">
        <v>406</v>
      </c>
    </row>
    <row r="114" spans="1:1" x14ac:dyDescent="0.2">
      <c r="A114" s="13" t="s">
        <v>423</v>
      </c>
    </row>
    <row r="115" spans="1:1" x14ac:dyDescent="0.2">
      <c r="A115" s="13" t="s">
        <v>450</v>
      </c>
    </row>
    <row r="116" spans="1:1" x14ac:dyDescent="0.2">
      <c r="A116" s="13" t="s">
        <v>453</v>
      </c>
    </row>
    <row r="117" spans="1:1" x14ac:dyDescent="0.2">
      <c r="A117" s="13" t="s">
        <v>472</v>
      </c>
    </row>
    <row r="118" spans="1:1" x14ac:dyDescent="0.2">
      <c r="A118" s="13" t="s">
        <v>489</v>
      </c>
    </row>
    <row r="119" spans="1:1" x14ac:dyDescent="0.2">
      <c r="A119" s="13" t="s">
        <v>516</v>
      </c>
    </row>
    <row r="120" spans="1:1" x14ac:dyDescent="0.2">
      <c r="A120" s="13" t="s">
        <v>188</v>
      </c>
    </row>
    <row r="121" spans="1:1" x14ac:dyDescent="0.2">
      <c r="A121" s="13" t="s">
        <v>379</v>
      </c>
    </row>
    <row r="122" spans="1:1" x14ac:dyDescent="0.2">
      <c r="A122" s="12" t="s">
        <v>610</v>
      </c>
    </row>
    <row r="123" spans="1:1" x14ac:dyDescent="0.2">
      <c r="A123" s="13" t="s">
        <v>154</v>
      </c>
    </row>
    <row r="124" spans="1:1" x14ac:dyDescent="0.2">
      <c r="A124" s="13" t="s">
        <v>160</v>
      </c>
    </row>
    <row r="125" spans="1:1" x14ac:dyDescent="0.2">
      <c r="A125" s="13" t="s">
        <v>195</v>
      </c>
    </row>
    <row r="126" spans="1:1" x14ac:dyDescent="0.2">
      <c r="A126" s="13" t="s">
        <v>239</v>
      </c>
    </row>
    <row r="127" spans="1:1" x14ac:dyDescent="0.2">
      <c r="A127" s="13" t="s">
        <v>254</v>
      </c>
    </row>
    <row r="128" spans="1:1" x14ac:dyDescent="0.2">
      <c r="A128" s="13" t="s">
        <v>286</v>
      </c>
    </row>
    <row r="129" spans="1:1" x14ac:dyDescent="0.2">
      <c r="A129" s="13" t="s">
        <v>293</v>
      </c>
    </row>
    <row r="130" spans="1:1" x14ac:dyDescent="0.2">
      <c r="A130" s="13" t="s">
        <v>297</v>
      </c>
    </row>
    <row r="131" spans="1:1" x14ac:dyDescent="0.2">
      <c r="A131" s="13" t="s">
        <v>299</v>
      </c>
    </row>
    <row r="132" spans="1:1" x14ac:dyDescent="0.2">
      <c r="A132" s="13" t="s">
        <v>418</v>
      </c>
    </row>
    <row r="133" spans="1:1" x14ac:dyDescent="0.2">
      <c r="A133" s="13" t="s">
        <v>448</v>
      </c>
    </row>
    <row r="134" spans="1:1" x14ac:dyDescent="0.2">
      <c r="A134" s="13" t="s">
        <v>456</v>
      </c>
    </row>
    <row r="135" spans="1:1" x14ac:dyDescent="0.2">
      <c r="A135" s="13" t="s">
        <v>483</v>
      </c>
    </row>
    <row r="136" spans="1:1" x14ac:dyDescent="0.2">
      <c r="A136" s="13" t="s">
        <v>484</v>
      </c>
    </row>
    <row r="137" spans="1:1" x14ac:dyDescent="0.2">
      <c r="A137" s="13" t="s">
        <v>485</v>
      </c>
    </row>
    <row r="138" spans="1:1" x14ac:dyDescent="0.2">
      <c r="A138" s="13" t="s">
        <v>488</v>
      </c>
    </row>
    <row r="139" spans="1:1" x14ac:dyDescent="0.2">
      <c r="A139" s="13" t="s">
        <v>505</v>
      </c>
    </row>
    <row r="140" spans="1:1" x14ac:dyDescent="0.2">
      <c r="A140" s="13" t="s">
        <v>506</v>
      </c>
    </row>
    <row r="141" spans="1:1" x14ac:dyDescent="0.2">
      <c r="A141" s="13" t="s">
        <v>518</v>
      </c>
    </row>
    <row r="142" spans="1:1" x14ac:dyDescent="0.2">
      <c r="A142" s="13" t="s">
        <v>519</v>
      </c>
    </row>
    <row r="143" spans="1:1" x14ac:dyDescent="0.2">
      <c r="A143" s="13" t="s">
        <v>528</v>
      </c>
    </row>
    <row r="144" spans="1:1" x14ac:dyDescent="0.2">
      <c r="A144" s="12" t="s">
        <v>611</v>
      </c>
    </row>
    <row r="145" spans="1:1" x14ac:dyDescent="0.2">
      <c r="A145" s="13" t="s">
        <v>219</v>
      </c>
    </row>
    <row r="146" spans="1:1" x14ac:dyDescent="0.2">
      <c r="A146" s="13" t="s">
        <v>352</v>
      </c>
    </row>
    <row r="147" spans="1:1" x14ac:dyDescent="0.2">
      <c r="A147" s="13" t="s">
        <v>356</v>
      </c>
    </row>
    <row r="148" spans="1:1" x14ac:dyDescent="0.2">
      <c r="A148" s="13" t="s">
        <v>358</v>
      </c>
    </row>
    <row r="149" spans="1:1" x14ac:dyDescent="0.2">
      <c r="A149" s="13" t="s">
        <v>364</v>
      </c>
    </row>
    <row r="150" spans="1:1" x14ac:dyDescent="0.2">
      <c r="A150" s="13" t="s">
        <v>368</v>
      </c>
    </row>
    <row r="151" spans="1:1" x14ac:dyDescent="0.2">
      <c r="A151" s="13" t="s">
        <v>407</v>
      </c>
    </row>
    <row r="152" spans="1:1" x14ac:dyDescent="0.2">
      <c r="A152" s="13" t="s">
        <v>445</v>
      </c>
    </row>
    <row r="153" spans="1:1" x14ac:dyDescent="0.2">
      <c r="A153" s="13" t="s">
        <v>449</v>
      </c>
    </row>
    <row r="154" spans="1:1" x14ac:dyDescent="0.2">
      <c r="A154" s="13" t="s">
        <v>451</v>
      </c>
    </row>
    <row r="155" spans="1:1" x14ac:dyDescent="0.2">
      <c r="A155" s="13" t="s">
        <v>452</v>
      </c>
    </row>
    <row r="156" spans="1:1" x14ac:dyDescent="0.2">
      <c r="A156" s="13" t="s">
        <v>486</v>
      </c>
    </row>
    <row r="157" spans="1:1" x14ac:dyDescent="0.2">
      <c r="A157" s="13" t="s">
        <v>520</v>
      </c>
    </row>
    <row r="158" spans="1:1" x14ac:dyDescent="0.2">
      <c r="A158" s="12" t="s">
        <v>371</v>
      </c>
    </row>
    <row r="159" spans="1:1" x14ac:dyDescent="0.2">
      <c r="A159" s="13" t="s">
        <v>200</v>
      </c>
    </row>
    <row r="160" spans="1:1" x14ac:dyDescent="0.2">
      <c r="A160" s="13" t="s">
        <v>205</v>
      </c>
    </row>
    <row r="161" spans="1:1" x14ac:dyDescent="0.2">
      <c r="A161" s="13" t="s">
        <v>244</v>
      </c>
    </row>
    <row r="162" spans="1:1" x14ac:dyDescent="0.2">
      <c r="A162" s="13" t="s">
        <v>303</v>
      </c>
    </row>
    <row r="163" spans="1:1" x14ac:dyDescent="0.2">
      <c r="A163" s="13" t="s">
        <v>335</v>
      </c>
    </row>
    <row r="164" spans="1:1" x14ac:dyDescent="0.2">
      <c r="A164" s="13" t="s">
        <v>337</v>
      </c>
    </row>
    <row r="165" spans="1:1" x14ac:dyDescent="0.2">
      <c r="A165" s="13" t="s">
        <v>339</v>
      </c>
    </row>
    <row r="166" spans="1:1" x14ac:dyDescent="0.2">
      <c r="A166" s="13" t="s">
        <v>280</v>
      </c>
    </row>
    <row r="167" spans="1:1" x14ac:dyDescent="0.2">
      <c r="A167" s="13" t="s">
        <v>350</v>
      </c>
    </row>
    <row r="168" spans="1:1" x14ac:dyDescent="0.2">
      <c r="A168" s="13" t="s">
        <v>380</v>
      </c>
    </row>
    <row r="169" spans="1:1" x14ac:dyDescent="0.2">
      <c r="A169" s="13" t="s">
        <v>386</v>
      </c>
    </row>
    <row r="170" spans="1:1" x14ac:dyDescent="0.2">
      <c r="A170" s="13" t="s">
        <v>394</v>
      </c>
    </row>
    <row r="171" spans="1:1" x14ac:dyDescent="0.2">
      <c r="A171" s="13" t="s">
        <v>395</v>
      </c>
    </row>
    <row r="172" spans="1:1" x14ac:dyDescent="0.2">
      <c r="A172" s="13" t="s">
        <v>436</v>
      </c>
    </row>
    <row r="173" spans="1:1" x14ac:dyDescent="0.2">
      <c r="A173" s="13" t="s">
        <v>437</v>
      </c>
    </row>
    <row r="174" spans="1:1" x14ac:dyDescent="0.2">
      <c r="A174" s="13" t="s">
        <v>438</v>
      </c>
    </row>
    <row r="175" spans="1:1" x14ac:dyDescent="0.2">
      <c r="A175" s="13" t="s">
        <v>439</v>
      </c>
    </row>
    <row r="176" spans="1:1" x14ac:dyDescent="0.2">
      <c r="A176" s="13" t="s">
        <v>440</v>
      </c>
    </row>
    <row r="177" spans="1:1" x14ac:dyDescent="0.2">
      <c r="A177" s="13" t="s">
        <v>441</v>
      </c>
    </row>
    <row r="178" spans="1:1" x14ac:dyDescent="0.2">
      <c r="A178" s="13" t="s">
        <v>442</v>
      </c>
    </row>
    <row r="179" spans="1:1" x14ac:dyDescent="0.2">
      <c r="A179" s="13" t="s">
        <v>443</v>
      </c>
    </row>
    <row r="180" spans="1:1" x14ac:dyDescent="0.2">
      <c r="A180" s="13" t="s">
        <v>455</v>
      </c>
    </row>
    <row r="181" spans="1:1" x14ac:dyDescent="0.2">
      <c r="A181" s="13" t="s">
        <v>467</v>
      </c>
    </row>
    <row r="182" spans="1:1" x14ac:dyDescent="0.2">
      <c r="A182" s="13" t="s">
        <v>468</v>
      </c>
    </row>
    <row r="183" spans="1:1" x14ac:dyDescent="0.2">
      <c r="A183" s="13" t="s">
        <v>469</v>
      </c>
    </row>
    <row r="184" spans="1:1" x14ac:dyDescent="0.2">
      <c r="A184" s="13" t="s">
        <v>470</v>
      </c>
    </row>
    <row r="185" spans="1:1" x14ac:dyDescent="0.2">
      <c r="A185" s="13" t="s">
        <v>471</v>
      </c>
    </row>
    <row r="186" spans="1:1" x14ac:dyDescent="0.2">
      <c r="A186" s="13" t="s">
        <v>508</v>
      </c>
    </row>
    <row r="187" spans="1:1" x14ac:dyDescent="0.2">
      <c r="A187" s="13" t="s">
        <v>509</v>
      </c>
    </row>
    <row r="188" spans="1:1" x14ac:dyDescent="0.2">
      <c r="A188" s="13" t="s">
        <v>510</v>
      </c>
    </row>
    <row r="189" spans="1:1" x14ac:dyDescent="0.2">
      <c r="A189" s="13" t="s">
        <v>511</v>
      </c>
    </row>
    <row r="190" spans="1:1" x14ac:dyDescent="0.2">
      <c r="A190" s="13" t="s">
        <v>512</v>
      </c>
    </row>
    <row r="191" spans="1:1" x14ac:dyDescent="0.2">
      <c r="A191" s="13" t="s">
        <v>513</v>
      </c>
    </row>
    <row r="192" spans="1:1" x14ac:dyDescent="0.2">
      <c r="A192" s="13" t="s">
        <v>514</v>
      </c>
    </row>
    <row r="193" spans="1:1" x14ac:dyDescent="0.2">
      <c r="A193" s="12" t="s">
        <v>612</v>
      </c>
    </row>
    <row r="194" spans="1:1" x14ac:dyDescent="0.2">
      <c r="A194" s="13" t="s">
        <v>142</v>
      </c>
    </row>
    <row r="195" spans="1:1" x14ac:dyDescent="0.2">
      <c r="A195" s="13" t="s">
        <v>148</v>
      </c>
    </row>
    <row r="196" spans="1:1" x14ac:dyDescent="0.2">
      <c r="A196" s="13" t="s">
        <v>343</v>
      </c>
    </row>
    <row r="197" spans="1:1" x14ac:dyDescent="0.2">
      <c r="A197" s="13" t="s">
        <v>402</v>
      </c>
    </row>
    <row r="198" spans="1:1" x14ac:dyDescent="0.2">
      <c r="A198" s="13" t="s">
        <v>213</v>
      </c>
    </row>
    <row r="199" spans="1:1" x14ac:dyDescent="0.2">
      <c r="A199" s="13" t="s">
        <v>433</v>
      </c>
    </row>
    <row r="200" spans="1:1" x14ac:dyDescent="0.2">
      <c r="A200" s="13" t="s">
        <v>515</v>
      </c>
    </row>
    <row r="201" spans="1:1" x14ac:dyDescent="0.2">
      <c r="A201" s="12" t="s">
        <v>150</v>
      </c>
    </row>
    <row r="202" spans="1:1" x14ac:dyDescent="0.2">
      <c r="A202" s="13" t="s">
        <v>234</v>
      </c>
    </row>
    <row r="203" spans="1:1" x14ac:dyDescent="0.2">
      <c r="A203" s="13" t="s">
        <v>281</v>
      </c>
    </row>
    <row r="204" spans="1:1" x14ac:dyDescent="0.2">
      <c r="A204" s="13" t="s">
        <v>174</v>
      </c>
    </row>
    <row r="205" spans="1:1" x14ac:dyDescent="0.2">
      <c r="A205" s="13" t="s">
        <v>289</v>
      </c>
    </row>
    <row r="206" spans="1:1" x14ac:dyDescent="0.2">
      <c r="A206" s="13" t="s">
        <v>321</v>
      </c>
    </row>
    <row r="207" spans="1:1" x14ac:dyDescent="0.2">
      <c r="A207" s="13" t="s">
        <v>329</v>
      </c>
    </row>
    <row r="208" spans="1:1" x14ac:dyDescent="0.2">
      <c r="A208" s="13" t="s">
        <v>366</v>
      </c>
    </row>
    <row r="209" spans="1:1" x14ac:dyDescent="0.2">
      <c r="A209" s="13" t="s">
        <v>370</v>
      </c>
    </row>
    <row r="210" spans="1:1" x14ac:dyDescent="0.2">
      <c r="A210" s="13" t="s">
        <v>374</v>
      </c>
    </row>
    <row r="211" spans="1:1" x14ac:dyDescent="0.2">
      <c r="A211" s="13" t="s">
        <v>376</v>
      </c>
    </row>
    <row r="212" spans="1:1" x14ac:dyDescent="0.2">
      <c r="A212" s="13" t="s">
        <v>378</v>
      </c>
    </row>
    <row r="213" spans="1:1" x14ac:dyDescent="0.2">
      <c r="A213" s="13" t="s">
        <v>283</v>
      </c>
    </row>
    <row r="214" spans="1:1" x14ac:dyDescent="0.2">
      <c r="A214" s="13" t="s">
        <v>391</v>
      </c>
    </row>
    <row r="215" spans="1:1" x14ac:dyDescent="0.2">
      <c r="A215" s="13" t="s">
        <v>304</v>
      </c>
    </row>
    <row r="216" spans="1:1" x14ac:dyDescent="0.2">
      <c r="A216" s="13" t="s">
        <v>428</v>
      </c>
    </row>
    <row r="217" spans="1:1" x14ac:dyDescent="0.2">
      <c r="A217" s="13" t="s">
        <v>432</v>
      </c>
    </row>
    <row r="218" spans="1:1" x14ac:dyDescent="0.2">
      <c r="A218" s="13" t="s">
        <v>457</v>
      </c>
    </row>
    <row r="219" spans="1:1" x14ac:dyDescent="0.2">
      <c r="A219" s="13" t="s">
        <v>458</v>
      </c>
    </row>
    <row r="220" spans="1:1" x14ac:dyDescent="0.2">
      <c r="A220" s="13" t="s">
        <v>463</v>
      </c>
    </row>
    <row r="221" spans="1:1" x14ac:dyDescent="0.2">
      <c r="A221" s="13" t="s">
        <v>464</v>
      </c>
    </row>
    <row r="222" spans="1:1" x14ac:dyDescent="0.2">
      <c r="A222" s="13" t="s">
        <v>465</v>
      </c>
    </row>
    <row r="223" spans="1:1" x14ac:dyDescent="0.2">
      <c r="A223" s="13" t="s">
        <v>466</v>
      </c>
    </row>
    <row r="224" spans="1:1" x14ac:dyDescent="0.2">
      <c r="A224" s="13" t="s">
        <v>474</v>
      </c>
    </row>
    <row r="225" spans="1:1" x14ac:dyDescent="0.2">
      <c r="A225" s="13" t="s">
        <v>475</v>
      </c>
    </row>
    <row r="226" spans="1:1" x14ac:dyDescent="0.2">
      <c r="A226" s="13" t="s">
        <v>487</v>
      </c>
    </row>
    <row r="227" spans="1:1" x14ac:dyDescent="0.2">
      <c r="A227" s="13" t="s">
        <v>503</v>
      </c>
    </row>
    <row r="228" spans="1:1" x14ac:dyDescent="0.2">
      <c r="A228" s="13" t="s">
        <v>504</v>
      </c>
    </row>
    <row r="229" spans="1:1" x14ac:dyDescent="0.2">
      <c r="A229" s="13" t="s">
        <v>242</v>
      </c>
    </row>
    <row r="230" spans="1:1" x14ac:dyDescent="0.2">
      <c r="A230" s="13" t="s">
        <v>517</v>
      </c>
    </row>
    <row r="231" spans="1:1" x14ac:dyDescent="0.2">
      <c r="A231" s="13" t="s">
        <v>521</v>
      </c>
    </row>
    <row r="232" spans="1:1" x14ac:dyDescent="0.2">
      <c r="A232" s="13" t="s">
        <v>522</v>
      </c>
    </row>
    <row r="233" spans="1:1" x14ac:dyDescent="0.2">
      <c r="A233" s="13" t="s">
        <v>523</v>
      </c>
    </row>
    <row r="234" spans="1:1" x14ac:dyDescent="0.2">
      <c r="A234" s="13" t="s">
        <v>524</v>
      </c>
    </row>
    <row r="235" spans="1:1" x14ac:dyDescent="0.2">
      <c r="A235" s="13" t="s">
        <v>525</v>
      </c>
    </row>
    <row r="236" spans="1:1" x14ac:dyDescent="0.2">
      <c r="A236" s="13" t="s">
        <v>526</v>
      </c>
    </row>
    <row r="237" spans="1:1" x14ac:dyDescent="0.2">
      <c r="A237" s="13" t="s">
        <v>527</v>
      </c>
    </row>
    <row r="238" spans="1:1" x14ac:dyDescent="0.2">
      <c r="A238" s="12" t="s">
        <v>613</v>
      </c>
    </row>
    <row r="239" spans="1:1" x14ac:dyDescent="0.2">
      <c r="A239" s="13" t="s">
        <v>224</v>
      </c>
    </row>
    <row r="240" spans="1:1" x14ac:dyDescent="0.2">
      <c r="A240" s="13" t="s">
        <v>249</v>
      </c>
    </row>
    <row r="241" spans="1:1" x14ac:dyDescent="0.2">
      <c r="A241" s="13" t="s">
        <v>291</v>
      </c>
    </row>
    <row r="242" spans="1:1" x14ac:dyDescent="0.2">
      <c r="A242" s="13" t="s">
        <v>309</v>
      </c>
    </row>
    <row r="243" spans="1:1" x14ac:dyDescent="0.2">
      <c r="A243" s="13" t="s">
        <v>311</v>
      </c>
    </row>
    <row r="244" spans="1:1" x14ac:dyDescent="0.2">
      <c r="A244" s="13" t="s">
        <v>313</v>
      </c>
    </row>
    <row r="245" spans="1:1" x14ac:dyDescent="0.2">
      <c r="A245" s="13" t="s">
        <v>325</v>
      </c>
    </row>
    <row r="246" spans="1:1" x14ac:dyDescent="0.2">
      <c r="A246" s="13" t="s">
        <v>346</v>
      </c>
    </row>
    <row r="247" spans="1:1" x14ac:dyDescent="0.2">
      <c r="A247" s="13" t="s">
        <v>348</v>
      </c>
    </row>
    <row r="248" spans="1:1" x14ac:dyDescent="0.2">
      <c r="A248" s="13" t="s">
        <v>362</v>
      </c>
    </row>
    <row r="249" spans="1:1" x14ac:dyDescent="0.2">
      <c r="A249" s="13" t="s">
        <v>382</v>
      </c>
    </row>
    <row r="250" spans="1:1" x14ac:dyDescent="0.2">
      <c r="A250" s="13" t="s">
        <v>403</v>
      </c>
    </row>
    <row r="251" spans="1:1" x14ac:dyDescent="0.2">
      <c r="A251" s="13" t="s">
        <v>431</v>
      </c>
    </row>
    <row r="252" spans="1:1" x14ac:dyDescent="0.2">
      <c r="A252" s="13" t="s">
        <v>454</v>
      </c>
    </row>
    <row r="253" spans="1:1" x14ac:dyDescent="0.2">
      <c r="A253" s="13" t="s">
        <v>460</v>
      </c>
    </row>
    <row r="254" spans="1:1" x14ac:dyDescent="0.2">
      <c r="A254" s="13" t="s">
        <v>473</v>
      </c>
    </row>
    <row r="255" spans="1:1" x14ac:dyDescent="0.2">
      <c r="A255" s="13" t="s">
        <v>507</v>
      </c>
    </row>
    <row r="256" spans="1:1" x14ac:dyDescent="0.2">
      <c r="A256" s="12" t="s">
        <v>558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E62C3-6744-F54A-A311-B7D2F4ABA967}">
  <sheetPr codeName="Sheet6"/>
  <dimension ref="B1:N138"/>
  <sheetViews>
    <sheetView workbookViewId="0">
      <selection activeCell="F38" sqref="F38"/>
    </sheetView>
  </sheetViews>
  <sheetFormatPr baseColWidth="10" defaultRowHeight="15" x14ac:dyDescent="0.2"/>
  <cols>
    <col min="2" max="3" width="25.33203125" customWidth="1"/>
    <col min="4" max="4" width="20.6640625" customWidth="1"/>
    <col min="5" max="5" width="19.83203125" customWidth="1"/>
    <col min="6" max="6" width="28" customWidth="1"/>
    <col min="7" max="7" width="19.1640625" customWidth="1"/>
    <col min="8" max="8" width="21.5" customWidth="1"/>
    <col min="10" max="11" width="18" customWidth="1"/>
    <col min="12" max="12" width="15.1640625" customWidth="1"/>
  </cols>
  <sheetData>
    <row r="1" spans="2:14" x14ac:dyDescent="0.2">
      <c r="B1" t="s">
        <v>142</v>
      </c>
      <c r="D1" t="s">
        <v>601</v>
      </c>
      <c r="E1" t="s">
        <v>602</v>
      </c>
    </row>
    <row r="2" spans="2:14" x14ac:dyDescent="0.2">
      <c r="B2" t="s">
        <v>148</v>
      </c>
      <c r="C2" t="s">
        <v>436</v>
      </c>
      <c r="D2" t="s">
        <v>154</v>
      </c>
      <c r="E2" t="s">
        <v>166</v>
      </c>
      <c r="F2" t="s">
        <v>200</v>
      </c>
      <c r="G2" t="s">
        <v>396</v>
      </c>
      <c r="H2" t="s">
        <v>408</v>
      </c>
      <c r="I2" t="s">
        <v>335</v>
      </c>
      <c r="J2" t="s">
        <v>492</v>
      </c>
      <c r="K2" t="s">
        <v>521</v>
      </c>
      <c r="L2" t="s">
        <v>227</v>
      </c>
      <c r="M2" t="s">
        <v>378</v>
      </c>
      <c r="N2" t="s">
        <v>385</v>
      </c>
    </row>
    <row r="3" spans="2:14" x14ac:dyDescent="0.2">
      <c r="C3" t="s">
        <v>437</v>
      </c>
      <c r="D3" t="s">
        <v>160</v>
      </c>
      <c r="E3" t="s">
        <v>172</v>
      </c>
      <c r="F3" t="s">
        <v>205</v>
      </c>
      <c r="G3" t="s">
        <v>397</v>
      </c>
      <c r="H3" t="s">
        <v>409</v>
      </c>
      <c r="I3" t="s">
        <v>337</v>
      </c>
      <c r="J3" t="s">
        <v>493</v>
      </c>
      <c r="K3" t="s">
        <v>522</v>
      </c>
      <c r="L3" t="s">
        <v>232</v>
      </c>
      <c r="M3" t="s">
        <v>393</v>
      </c>
      <c r="N3" t="s">
        <v>419</v>
      </c>
    </row>
    <row r="4" spans="2:14" x14ac:dyDescent="0.2">
      <c r="B4" t="s">
        <v>224</v>
      </c>
      <c r="C4" t="s">
        <v>438</v>
      </c>
      <c r="D4" t="s">
        <v>195</v>
      </c>
      <c r="E4" t="s">
        <v>178</v>
      </c>
      <c r="F4" t="s">
        <v>467</v>
      </c>
      <c r="G4" t="s">
        <v>398</v>
      </c>
      <c r="H4" t="s">
        <v>410</v>
      </c>
      <c r="I4" t="s">
        <v>339</v>
      </c>
      <c r="J4" t="s">
        <v>494</v>
      </c>
      <c r="K4" t="s">
        <v>523</v>
      </c>
      <c r="L4" t="s">
        <v>491</v>
      </c>
      <c r="M4" t="s">
        <v>394</v>
      </c>
      <c r="N4" t="s">
        <v>420</v>
      </c>
    </row>
    <row r="5" spans="2:14" x14ac:dyDescent="0.2">
      <c r="B5" t="s">
        <v>234</v>
      </c>
      <c r="C5" t="s">
        <v>439</v>
      </c>
      <c r="D5" t="s">
        <v>219</v>
      </c>
      <c r="E5" t="s">
        <v>184</v>
      </c>
      <c r="F5" t="s">
        <v>468</v>
      </c>
      <c r="G5" t="s">
        <v>399</v>
      </c>
      <c r="H5" t="s">
        <v>411</v>
      </c>
      <c r="J5" t="s">
        <v>495</v>
      </c>
      <c r="K5" t="s">
        <v>524</v>
      </c>
      <c r="L5" t="s">
        <v>229</v>
      </c>
    </row>
    <row r="6" spans="2:14" x14ac:dyDescent="0.2">
      <c r="B6" t="s">
        <v>244</v>
      </c>
      <c r="C6" t="s">
        <v>440</v>
      </c>
      <c r="D6" t="s">
        <v>239</v>
      </c>
      <c r="E6" t="s">
        <v>190</v>
      </c>
      <c r="F6" t="s">
        <v>469</v>
      </c>
      <c r="G6" t="s">
        <v>400</v>
      </c>
      <c r="H6" t="s">
        <v>412</v>
      </c>
      <c r="J6" t="s">
        <v>496</v>
      </c>
      <c r="K6" t="s">
        <v>525</v>
      </c>
    </row>
    <row r="7" spans="2:14" x14ac:dyDescent="0.2">
      <c r="B7" t="s">
        <v>249</v>
      </c>
      <c r="C7" t="s">
        <v>441</v>
      </c>
      <c r="D7" t="s">
        <v>254</v>
      </c>
      <c r="E7" t="s">
        <v>260</v>
      </c>
      <c r="F7" t="s">
        <v>470</v>
      </c>
      <c r="G7" t="s">
        <v>401</v>
      </c>
      <c r="H7" t="s">
        <v>413</v>
      </c>
      <c r="J7" t="s">
        <v>497</v>
      </c>
    </row>
    <row r="8" spans="2:14" x14ac:dyDescent="0.2">
      <c r="B8" t="s">
        <v>266</v>
      </c>
      <c r="C8" t="s">
        <v>442</v>
      </c>
      <c r="D8" t="s">
        <v>263</v>
      </c>
      <c r="E8" t="s">
        <v>333</v>
      </c>
      <c r="F8" t="s">
        <v>471</v>
      </c>
      <c r="H8" t="s">
        <v>414</v>
      </c>
      <c r="J8" t="s">
        <v>498</v>
      </c>
    </row>
    <row r="9" spans="2:14" x14ac:dyDescent="0.2">
      <c r="B9" t="s">
        <v>269</v>
      </c>
      <c r="C9" t="s">
        <v>443</v>
      </c>
      <c r="D9" t="s">
        <v>286</v>
      </c>
      <c r="E9" t="s">
        <v>210</v>
      </c>
      <c r="F9" t="s">
        <v>380</v>
      </c>
      <c r="H9" t="s">
        <v>415</v>
      </c>
      <c r="J9" t="s">
        <v>499</v>
      </c>
    </row>
    <row r="10" spans="2:14" x14ac:dyDescent="0.2">
      <c r="B10" t="s">
        <v>272</v>
      </c>
      <c r="D10" t="s">
        <v>293</v>
      </c>
      <c r="E10" t="s">
        <v>301</v>
      </c>
      <c r="J10" t="s">
        <v>500</v>
      </c>
    </row>
    <row r="11" spans="2:14" x14ac:dyDescent="0.2">
      <c r="B11" t="s">
        <v>275</v>
      </c>
      <c r="D11" t="s">
        <v>297</v>
      </c>
      <c r="E11" t="s">
        <v>446</v>
      </c>
      <c r="J11" t="s">
        <v>501</v>
      </c>
    </row>
    <row r="12" spans="2:14" x14ac:dyDescent="0.2">
      <c r="B12" t="s">
        <v>278</v>
      </c>
      <c r="D12" t="s">
        <v>299</v>
      </c>
      <c r="E12" t="s">
        <v>447</v>
      </c>
    </row>
    <row r="13" spans="2:14" x14ac:dyDescent="0.2">
      <c r="D13" t="s">
        <v>418</v>
      </c>
      <c r="E13" t="s">
        <v>388</v>
      </c>
    </row>
    <row r="14" spans="2:14" x14ac:dyDescent="0.2">
      <c r="B14" t="s">
        <v>284</v>
      </c>
      <c r="D14" t="s">
        <v>448</v>
      </c>
      <c r="E14" t="s">
        <v>505</v>
      </c>
    </row>
    <row r="15" spans="2:14" x14ac:dyDescent="0.2">
      <c r="D15" t="s">
        <v>456</v>
      </c>
      <c r="E15" t="s">
        <v>506</v>
      </c>
    </row>
    <row r="16" spans="2:14" x14ac:dyDescent="0.2">
      <c r="D16" t="s">
        <v>483</v>
      </c>
      <c r="E16" t="s">
        <v>257</v>
      </c>
    </row>
    <row r="17" spans="2:8" x14ac:dyDescent="0.2">
      <c r="B17" t="s">
        <v>291</v>
      </c>
      <c r="D17" t="s">
        <v>484</v>
      </c>
      <c r="E17" t="s">
        <v>307</v>
      </c>
    </row>
    <row r="18" spans="2:8" x14ac:dyDescent="0.2">
      <c r="B18" t="s">
        <v>295</v>
      </c>
      <c r="D18" t="s">
        <v>485</v>
      </c>
      <c r="E18" t="s">
        <v>354</v>
      </c>
    </row>
    <row r="19" spans="2:8" x14ac:dyDescent="0.2">
      <c r="B19" t="s">
        <v>303</v>
      </c>
      <c r="D19" t="s">
        <v>488</v>
      </c>
      <c r="E19" t="s">
        <v>389</v>
      </c>
    </row>
    <row r="20" spans="2:8" x14ac:dyDescent="0.2">
      <c r="B20" t="s">
        <v>305</v>
      </c>
      <c r="D20" t="s">
        <v>519</v>
      </c>
      <c r="E20" t="s">
        <v>427</v>
      </c>
    </row>
    <row r="21" spans="2:8" x14ac:dyDescent="0.2">
      <c r="B21" t="s">
        <v>309</v>
      </c>
      <c r="D21" t="s">
        <v>528</v>
      </c>
    </row>
    <row r="22" spans="2:8" x14ac:dyDescent="0.2">
      <c r="B22" t="s">
        <v>311</v>
      </c>
    </row>
    <row r="23" spans="2:8" x14ac:dyDescent="0.2">
      <c r="B23" t="s">
        <v>313</v>
      </c>
    </row>
    <row r="24" spans="2:8" x14ac:dyDescent="0.2">
      <c r="B24" t="s">
        <v>315</v>
      </c>
    </row>
    <row r="25" spans="2:8" x14ac:dyDescent="0.2">
      <c r="B25" t="s">
        <v>317</v>
      </c>
      <c r="D25" t="s">
        <v>143</v>
      </c>
      <c r="E25" t="s">
        <v>370</v>
      </c>
      <c r="F25" t="s">
        <v>392</v>
      </c>
      <c r="G25" t="s">
        <v>281</v>
      </c>
      <c r="H25" t="s">
        <v>352</v>
      </c>
    </row>
    <row r="26" spans="2:8" x14ac:dyDescent="0.2">
      <c r="B26" t="s">
        <v>319</v>
      </c>
      <c r="D26" t="s">
        <v>174</v>
      </c>
      <c r="E26" t="s">
        <v>289</v>
      </c>
      <c r="G26" t="s">
        <v>463</v>
      </c>
      <c r="H26" t="s">
        <v>356</v>
      </c>
    </row>
    <row r="27" spans="2:8" x14ac:dyDescent="0.2">
      <c r="B27" t="s">
        <v>321</v>
      </c>
      <c r="D27" t="s">
        <v>242</v>
      </c>
      <c r="E27" t="s">
        <v>503</v>
      </c>
      <c r="G27" t="s">
        <v>464</v>
      </c>
      <c r="H27" t="s">
        <v>358</v>
      </c>
    </row>
    <row r="28" spans="2:8" x14ac:dyDescent="0.2">
      <c r="B28" t="s">
        <v>323</v>
      </c>
      <c r="E28" t="s">
        <v>457</v>
      </c>
      <c r="G28" t="s">
        <v>465</v>
      </c>
    </row>
    <row r="29" spans="2:8" x14ac:dyDescent="0.2">
      <c r="B29" t="s">
        <v>325</v>
      </c>
      <c r="E29" t="s">
        <v>366</v>
      </c>
      <c r="G29" t="s">
        <v>474</v>
      </c>
    </row>
    <row r="30" spans="2:8" x14ac:dyDescent="0.2">
      <c r="B30" t="s">
        <v>327</v>
      </c>
      <c r="E30" t="s">
        <v>391</v>
      </c>
      <c r="G30" t="s">
        <v>475</v>
      </c>
    </row>
    <row r="31" spans="2:8" x14ac:dyDescent="0.2">
      <c r="B31" t="s">
        <v>329</v>
      </c>
      <c r="G31" t="s">
        <v>466</v>
      </c>
    </row>
    <row r="32" spans="2:8" x14ac:dyDescent="0.2">
      <c r="B32" t="s">
        <v>331</v>
      </c>
      <c r="G32" t="s">
        <v>526</v>
      </c>
    </row>
    <row r="33" spans="2:7" x14ac:dyDescent="0.2">
      <c r="B33" t="s">
        <v>341</v>
      </c>
      <c r="G33" t="s">
        <v>527</v>
      </c>
    </row>
    <row r="34" spans="2:7" x14ac:dyDescent="0.2">
      <c r="B34" t="s">
        <v>343</v>
      </c>
      <c r="G34" t="s">
        <v>350</v>
      </c>
    </row>
    <row r="35" spans="2:7" x14ac:dyDescent="0.2">
      <c r="B35" t="s">
        <v>280</v>
      </c>
    </row>
    <row r="36" spans="2:7" x14ac:dyDescent="0.2">
      <c r="B36" t="s">
        <v>346</v>
      </c>
    </row>
    <row r="37" spans="2:7" x14ac:dyDescent="0.2">
      <c r="B37" t="s">
        <v>348</v>
      </c>
    </row>
    <row r="42" spans="2:7" x14ac:dyDescent="0.2">
      <c r="B42" t="s">
        <v>360</v>
      </c>
    </row>
    <row r="43" spans="2:7" x14ac:dyDescent="0.2">
      <c r="B43" t="s">
        <v>362</v>
      </c>
    </row>
    <row r="44" spans="2:7" x14ac:dyDescent="0.2">
      <c r="B44" t="s">
        <v>364</v>
      </c>
    </row>
    <row r="46" spans="2:7" x14ac:dyDescent="0.2">
      <c r="B46" t="s">
        <v>368</v>
      </c>
    </row>
    <row r="48" spans="2:7" x14ac:dyDescent="0.2">
      <c r="B48" t="s">
        <v>372</v>
      </c>
    </row>
    <row r="49" spans="2:2" x14ac:dyDescent="0.2">
      <c r="B49" t="s">
        <v>374</v>
      </c>
    </row>
    <row r="50" spans="2:2" x14ac:dyDescent="0.2">
      <c r="B50" t="s">
        <v>376</v>
      </c>
    </row>
    <row r="51" spans="2:2" x14ac:dyDescent="0.2">
      <c r="B51" t="s">
        <v>382</v>
      </c>
    </row>
    <row r="52" spans="2:2" x14ac:dyDescent="0.2">
      <c r="B52" t="s">
        <v>283</v>
      </c>
    </row>
    <row r="53" spans="2:2" x14ac:dyDescent="0.2">
      <c r="B53" t="s">
        <v>384</v>
      </c>
    </row>
    <row r="55" spans="2:2" x14ac:dyDescent="0.2">
      <c r="B55" t="s">
        <v>386</v>
      </c>
    </row>
    <row r="56" spans="2:2" x14ac:dyDescent="0.2">
      <c r="B56" t="s">
        <v>387</v>
      </c>
    </row>
    <row r="57" spans="2:2" x14ac:dyDescent="0.2">
      <c r="B57" t="s">
        <v>390</v>
      </c>
    </row>
    <row r="60" spans="2:2" x14ac:dyDescent="0.2">
      <c r="B60" t="s">
        <v>395</v>
      </c>
    </row>
    <row r="61" spans="2:2" x14ac:dyDescent="0.2">
      <c r="B61" t="s">
        <v>304</v>
      </c>
    </row>
    <row r="62" spans="2:2" x14ac:dyDescent="0.2">
      <c r="B62" t="s">
        <v>402</v>
      </c>
    </row>
    <row r="63" spans="2:2" x14ac:dyDescent="0.2">
      <c r="B63" t="s">
        <v>403</v>
      </c>
    </row>
    <row r="64" spans="2:2" x14ac:dyDescent="0.2">
      <c r="B64" t="s">
        <v>404</v>
      </c>
    </row>
    <row r="65" spans="2:2" x14ac:dyDescent="0.2">
      <c r="B65" t="s">
        <v>405</v>
      </c>
    </row>
    <row r="66" spans="2:2" x14ac:dyDescent="0.2">
      <c r="B66" t="s">
        <v>406</v>
      </c>
    </row>
    <row r="67" spans="2:2" x14ac:dyDescent="0.2">
      <c r="B67" t="s">
        <v>407</v>
      </c>
    </row>
    <row r="68" spans="2:2" x14ac:dyDescent="0.2">
      <c r="B68" t="s">
        <v>416</v>
      </c>
    </row>
    <row r="69" spans="2:2" x14ac:dyDescent="0.2">
      <c r="B69" t="s">
        <v>417</v>
      </c>
    </row>
    <row r="72" spans="2:2" x14ac:dyDescent="0.2">
      <c r="B72" t="s">
        <v>421</v>
      </c>
    </row>
    <row r="73" spans="2:2" x14ac:dyDescent="0.2">
      <c r="B73" t="s">
        <v>422</v>
      </c>
    </row>
    <row r="74" spans="2:2" x14ac:dyDescent="0.2">
      <c r="B74" t="s">
        <v>423</v>
      </c>
    </row>
    <row r="75" spans="2:2" x14ac:dyDescent="0.2">
      <c r="B75" t="s">
        <v>424</v>
      </c>
    </row>
    <row r="76" spans="2:2" x14ac:dyDescent="0.2">
      <c r="B76" t="s">
        <v>425</v>
      </c>
    </row>
    <row r="77" spans="2:2" x14ac:dyDescent="0.2">
      <c r="B77" t="s">
        <v>426</v>
      </c>
    </row>
    <row r="78" spans="2:2" x14ac:dyDescent="0.2">
      <c r="B78" t="s">
        <v>428</v>
      </c>
    </row>
    <row r="79" spans="2:2" x14ac:dyDescent="0.2">
      <c r="B79" t="s">
        <v>429</v>
      </c>
    </row>
    <row r="80" spans="2:2" x14ac:dyDescent="0.2">
      <c r="B80" t="s">
        <v>430</v>
      </c>
    </row>
    <row r="81" spans="2:2" x14ac:dyDescent="0.2">
      <c r="B81" t="s">
        <v>431</v>
      </c>
    </row>
    <row r="82" spans="2:2" x14ac:dyDescent="0.2">
      <c r="B82" t="s">
        <v>213</v>
      </c>
    </row>
    <row r="83" spans="2:2" x14ac:dyDescent="0.2">
      <c r="B83" t="s">
        <v>432</v>
      </c>
    </row>
    <row r="84" spans="2:2" x14ac:dyDescent="0.2">
      <c r="B84" t="s">
        <v>433</v>
      </c>
    </row>
    <row r="85" spans="2:2" x14ac:dyDescent="0.2">
      <c r="B85" t="s">
        <v>434</v>
      </c>
    </row>
    <row r="86" spans="2:2" x14ac:dyDescent="0.2">
      <c r="B86" t="s">
        <v>435</v>
      </c>
    </row>
    <row r="87" spans="2:2" x14ac:dyDescent="0.2">
      <c r="B87" t="s">
        <v>444</v>
      </c>
    </row>
    <row r="88" spans="2:2" x14ac:dyDescent="0.2">
      <c r="B88" t="s">
        <v>445</v>
      </c>
    </row>
    <row r="89" spans="2:2" x14ac:dyDescent="0.2">
      <c r="B89" t="s">
        <v>449</v>
      </c>
    </row>
    <row r="90" spans="2:2" x14ac:dyDescent="0.2">
      <c r="B90" t="s">
        <v>450</v>
      </c>
    </row>
    <row r="91" spans="2:2" x14ac:dyDescent="0.2">
      <c r="B91" t="s">
        <v>451</v>
      </c>
    </row>
    <row r="92" spans="2:2" x14ac:dyDescent="0.2">
      <c r="B92" t="s">
        <v>452</v>
      </c>
    </row>
    <row r="93" spans="2:2" x14ac:dyDescent="0.2">
      <c r="B93" t="s">
        <v>453</v>
      </c>
    </row>
    <row r="94" spans="2:2" x14ac:dyDescent="0.2">
      <c r="B94" t="s">
        <v>454</v>
      </c>
    </row>
    <row r="95" spans="2:2" x14ac:dyDescent="0.2">
      <c r="B95" t="s">
        <v>455</v>
      </c>
    </row>
    <row r="97" spans="2:2" x14ac:dyDescent="0.2">
      <c r="B97" t="s">
        <v>458</v>
      </c>
    </row>
    <row r="98" spans="2:2" x14ac:dyDescent="0.2">
      <c r="B98" t="s">
        <v>459</v>
      </c>
    </row>
    <row r="99" spans="2:2" x14ac:dyDescent="0.2">
      <c r="B99" t="s">
        <v>460</v>
      </c>
    </row>
    <row r="100" spans="2:2" x14ac:dyDescent="0.2">
      <c r="B100" t="s">
        <v>461</v>
      </c>
    </row>
    <row r="101" spans="2:2" x14ac:dyDescent="0.2">
      <c r="B101" t="s">
        <v>462</v>
      </c>
    </row>
    <row r="106" spans="2:2" x14ac:dyDescent="0.2">
      <c r="B106" t="s">
        <v>472</v>
      </c>
    </row>
    <row r="107" spans="2:2" x14ac:dyDescent="0.2">
      <c r="B107" t="s">
        <v>473</v>
      </c>
    </row>
    <row r="110" spans="2:2" x14ac:dyDescent="0.2">
      <c r="B110" t="s">
        <v>476</v>
      </c>
    </row>
    <row r="111" spans="2:2" x14ac:dyDescent="0.2">
      <c r="B111" t="s">
        <v>477</v>
      </c>
    </row>
    <row r="112" spans="2:2" x14ac:dyDescent="0.2">
      <c r="B112" t="s">
        <v>478</v>
      </c>
    </row>
    <row r="113" spans="2:2" x14ac:dyDescent="0.2">
      <c r="B113" t="s">
        <v>479</v>
      </c>
    </row>
    <row r="114" spans="2:2" x14ac:dyDescent="0.2">
      <c r="B114" t="s">
        <v>480</v>
      </c>
    </row>
    <row r="115" spans="2:2" x14ac:dyDescent="0.2">
      <c r="B115" t="s">
        <v>481</v>
      </c>
    </row>
    <row r="116" spans="2:2" x14ac:dyDescent="0.2">
      <c r="B116" t="s">
        <v>482</v>
      </c>
    </row>
    <row r="117" spans="2:2" x14ac:dyDescent="0.2">
      <c r="B117" t="s">
        <v>486</v>
      </c>
    </row>
    <row r="118" spans="2:2" x14ac:dyDescent="0.2">
      <c r="B118" t="s">
        <v>487</v>
      </c>
    </row>
    <row r="119" spans="2:2" x14ac:dyDescent="0.2">
      <c r="B119" t="s">
        <v>489</v>
      </c>
    </row>
    <row r="120" spans="2:2" x14ac:dyDescent="0.2">
      <c r="B120" t="s">
        <v>490</v>
      </c>
    </row>
    <row r="122" spans="2:2" x14ac:dyDescent="0.2">
      <c r="B122" t="s">
        <v>504</v>
      </c>
    </row>
    <row r="123" spans="2:2" x14ac:dyDescent="0.2">
      <c r="B123" t="s">
        <v>507</v>
      </c>
    </row>
    <row r="124" spans="2:2" x14ac:dyDescent="0.2">
      <c r="B124" t="s">
        <v>508</v>
      </c>
    </row>
    <row r="125" spans="2:2" x14ac:dyDescent="0.2">
      <c r="B125" t="s">
        <v>509</v>
      </c>
    </row>
    <row r="126" spans="2:2" x14ac:dyDescent="0.2">
      <c r="B126" t="s">
        <v>510</v>
      </c>
    </row>
    <row r="127" spans="2:2" x14ac:dyDescent="0.2">
      <c r="B127" t="s">
        <v>511</v>
      </c>
    </row>
    <row r="128" spans="2:2" x14ac:dyDescent="0.2">
      <c r="B128" t="s">
        <v>512</v>
      </c>
    </row>
    <row r="129" spans="2:2" x14ac:dyDescent="0.2">
      <c r="B129" t="s">
        <v>513</v>
      </c>
    </row>
    <row r="130" spans="2:2" x14ac:dyDescent="0.2">
      <c r="B130" t="s">
        <v>514</v>
      </c>
    </row>
    <row r="131" spans="2:2" x14ac:dyDescent="0.2">
      <c r="B131" t="s">
        <v>515</v>
      </c>
    </row>
    <row r="132" spans="2:2" x14ac:dyDescent="0.2">
      <c r="B132" t="s">
        <v>516</v>
      </c>
    </row>
    <row r="133" spans="2:2" x14ac:dyDescent="0.2">
      <c r="B133" t="s">
        <v>188</v>
      </c>
    </row>
    <row r="135" spans="2:2" x14ac:dyDescent="0.2">
      <c r="B135" t="s">
        <v>517</v>
      </c>
    </row>
    <row r="136" spans="2:2" x14ac:dyDescent="0.2">
      <c r="B136" t="s">
        <v>518</v>
      </c>
    </row>
    <row r="137" spans="2:2" x14ac:dyDescent="0.2">
      <c r="B137" t="s">
        <v>379</v>
      </c>
    </row>
    <row r="138" spans="2:2" x14ac:dyDescent="0.2">
      <c r="B138" t="s">
        <v>520</v>
      </c>
    </row>
  </sheetData>
  <sortState ref="B1:B239">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data</vt:lpstr>
      <vt:lpstr>data_</vt:lpstr>
      <vt:lpstr>Sheet7</vt:lpstr>
      <vt:lpstr>Sheet8</vt:lpstr>
      <vt:lpstr>pivot</vt:lpstr>
      <vt:lpstr>remarks</vt:lpstr>
      <vt:lpstr>structure</vt:lpstr>
      <vt:lpstr>Sheet3</vt:lpstr>
      <vt:lpstr>Sheet1</vt:lpstr>
      <vt:lpstr>prod_attr</vt:lpstr>
      <vt:lpstr>prod_attr_pivot</vt:lpstr>
      <vt:lpstr>Sheet2</vt:lpstr>
      <vt:lpstr>data_!PF</vt:lpstr>
      <vt:lpstr>PF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Frank Ebbers</cp:lastModifiedBy>
  <dcterms:created xsi:type="dcterms:W3CDTF">2019-11-28T12:01:00Z</dcterms:created>
  <dcterms:modified xsi:type="dcterms:W3CDTF">2019-12-21T11:35:50Z</dcterms:modified>
</cp:coreProperties>
</file>